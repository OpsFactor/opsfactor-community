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ocuments\NetBeansProjects\planning-services\src\test\resources\excel\"/>
    </mc:Choice>
  </mc:AlternateContent>
  <xr:revisionPtr revIDLastSave="0" documentId="13_ncr:1_{4A33715C-4605-42E1-9E79-DDCB50AE53E4}" xr6:coauthVersionLast="45" xr6:coauthVersionMax="45" xr10:uidLastSave="{00000000-0000-0000-0000-000000000000}"/>
  <bookViews>
    <workbookView xWindow="0" yWindow="0" windowWidth="20490" windowHeight="10920" tabRatio="727" firstSheet="4" activeTab="7" xr2:uid="{E2506CE3-6EF9-46EF-AF09-AD3A04D513EE}"/>
  </bookViews>
  <sheets>
    <sheet name="Produto" sheetId="1" r:id="rId1"/>
    <sheet name="ClusterLocations" sheetId="3" r:id="rId2"/>
    <sheet name="Location" sheetId="2" r:id="rId3"/>
    <sheet name="LinhaTransporte" sheetId="4" r:id="rId4"/>
    <sheet name="DemandPlan" sheetId="5" r:id="rId5"/>
    <sheet name="DemandPlanLinha" sheetId="6" r:id="rId6"/>
    <sheet name="Estoque" sheetId="7" r:id="rId7"/>
    <sheet name="ListaTecnica" sheetId="8" r:id="rId8"/>
    <sheet name="ListaTecnicaComponente" sheetId="9" r:id="rId9"/>
    <sheet name="RecursoProdutivo" sheetId="10" r:id="rId10"/>
    <sheet name="ReceitaProducao" sheetId="11" r:id="rId11"/>
    <sheet name="ReceitaProducaoOperacao" sheetId="12" r:id="rId12"/>
  </sheets>
  <definedNames>
    <definedName name="_xlnm._FilterDatabase" localSheetId="5" hidden="1">DemandPlanLinha!$A$1:$F$49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9" i="6" l="1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8" i="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E5" i="4"/>
  <c r="I2" i="12"/>
  <c r="E6" i="10"/>
  <c r="E5" i="10"/>
  <c r="E4" i="10"/>
  <c r="E3" i="10"/>
  <c r="E2" i="10"/>
  <c r="E10" i="9"/>
  <c r="E9" i="9"/>
  <c r="E8" i="9"/>
  <c r="E7" i="9"/>
  <c r="E6" i="9"/>
  <c r="E5" i="9"/>
  <c r="E4" i="9"/>
  <c r="E3" i="9"/>
  <c r="E2" i="9"/>
  <c r="E9" i="8"/>
  <c r="E8" i="8"/>
  <c r="E7" i="8"/>
  <c r="E6" i="8"/>
  <c r="E5" i="8"/>
  <c r="E4" i="8"/>
  <c r="E3" i="8"/>
  <c r="E2" i="8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2" i="5"/>
  <c r="E13" i="4"/>
  <c r="E12" i="4"/>
  <c r="E11" i="4"/>
  <c r="E10" i="4"/>
  <c r="E9" i="4"/>
  <c r="E8" i="4"/>
  <c r="E7" i="4"/>
  <c r="E6" i="4"/>
  <c r="E4" i="4"/>
  <c r="E3" i="4"/>
  <c r="E2" i="4"/>
  <c r="E12" i="2"/>
  <c r="E11" i="2"/>
  <c r="E10" i="2"/>
  <c r="E9" i="2"/>
  <c r="E7" i="2"/>
  <c r="E6" i="2"/>
  <c r="E5" i="2"/>
  <c r="E4" i="2"/>
  <c r="E3" i="2"/>
  <c r="E2" i="2"/>
  <c r="D5" i="3"/>
  <c r="D4" i="3"/>
  <c r="D3" i="3"/>
  <c r="D2" i="3"/>
  <c r="D12" i="1"/>
  <c r="D11" i="1"/>
  <c r="D10" i="1"/>
  <c r="D9" i="1"/>
  <c r="D8" i="1"/>
  <c r="D7" i="1"/>
  <c r="D6" i="1"/>
  <c r="D5" i="1"/>
  <c r="D4" i="1"/>
  <c r="D3" i="1"/>
  <c r="D2" i="1"/>
  <c r="B13" i="11"/>
  <c r="E13" i="11" s="1"/>
  <c r="B12" i="11"/>
  <c r="E12" i="11" s="1"/>
  <c r="B11" i="11"/>
  <c r="E11" i="11" s="1"/>
  <c r="B10" i="11"/>
  <c r="E10" i="11" s="1"/>
  <c r="B9" i="11"/>
  <c r="E9" i="11" s="1"/>
  <c r="B8" i="11"/>
  <c r="E8" i="11" s="1"/>
  <c r="B7" i="11"/>
  <c r="E7" i="11" s="1"/>
  <c r="B6" i="11"/>
  <c r="E6" i="11" s="1"/>
  <c r="B5" i="11"/>
  <c r="E5" i="11" s="1"/>
  <c r="B4" i="11"/>
  <c r="E4" i="11" s="1"/>
  <c r="B3" i="11"/>
  <c r="E3" i="11" s="1"/>
  <c r="B2" i="11"/>
  <c r="E2" i="11" s="1"/>
</calcChain>
</file>

<file path=xl/sharedStrings.xml><?xml version="1.0" encoding="utf-8"?>
<sst xmlns="http://schemas.openxmlformats.org/spreadsheetml/2006/main" count="403" uniqueCount="128">
  <si>
    <t>id</t>
  </si>
  <si>
    <t>descricao</t>
  </si>
  <si>
    <t>WP200</t>
  </si>
  <si>
    <t>WP201</t>
  </si>
  <si>
    <t>RM300</t>
  </si>
  <si>
    <t>RM301</t>
  </si>
  <si>
    <t>FG100</t>
  </si>
  <si>
    <t>FG101</t>
  </si>
  <si>
    <t>Finished Good 100</t>
  </si>
  <si>
    <t>Finished Good 101</t>
  </si>
  <si>
    <t>Work in Process 200</t>
  </si>
  <si>
    <t>Raw Material 300</t>
  </si>
  <si>
    <t>Store Cluster</t>
  </si>
  <si>
    <t>DCs Cluster</t>
  </si>
  <si>
    <t>Factory Cluster</t>
  </si>
  <si>
    <t>Supplier Cluster</t>
  </si>
  <si>
    <t>Store 01</t>
  </si>
  <si>
    <t>Store 02</t>
  </si>
  <si>
    <t>Store 03</t>
  </si>
  <si>
    <t>Store 04</t>
  </si>
  <si>
    <t>DC 01</t>
  </si>
  <si>
    <t>DC 02</t>
  </si>
  <si>
    <t>Factory 01</t>
  </si>
  <si>
    <t>Factory 02</t>
  </si>
  <si>
    <t>Supplier 01</t>
  </si>
  <si>
    <t>location_origem_id</t>
  </si>
  <si>
    <t>lead_time_dias</t>
  </si>
  <si>
    <t>DC01</t>
  </si>
  <si>
    <t>STO01</t>
  </si>
  <si>
    <t>STO02</t>
  </si>
  <si>
    <t>STO03</t>
  </si>
  <si>
    <t>STO04</t>
  </si>
  <si>
    <t>DC02</t>
  </si>
  <si>
    <t>FAC01</t>
  </si>
  <si>
    <t>FAC02</t>
  </si>
  <si>
    <t>SUP01</t>
  </si>
  <si>
    <t>Obs</t>
  </si>
  <si>
    <t>DC 01 armazena produtos FG100 e FG101</t>
  </si>
  <si>
    <t>DC 02 armazena produtos FG102 e FG103</t>
  </si>
  <si>
    <t>DC03</t>
  </si>
  <si>
    <t>FAC03</t>
  </si>
  <si>
    <t>Factory 03</t>
  </si>
  <si>
    <t>STO 04 só consome produtos oriundos DC01 e DC03</t>
  </si>
  <si>
    <t>FG102</t>
  </si>
  <si>
    <t>FG103</t>
  </si>
  <si>
    <t>Finished Good 102</t>
  </si>
  <si>
    <t>Finished Good 103</t>
  </si>
  <si>
    <t>Demand Plan 01</t>
  </si>
  <si>
    <t>demand_plan_id</t>
  </si>
  <si>
    <t>location_id</t>
  </si>
  <si>
    <t>produto_id</t>
  </si>
  <si>
    <t>data_referencia</t>
  </si>
  <si>
    <t>DC 03 armazena produtos FG100 e FG101</t>
  </si>
  <si>
    <t>quantidade</t>
  </si>
  <si>
    <t>quantidade_baseline</t>
  </si>
  <si>
    <t>Work in Process 201</t>
  </si>
  <si>
    <t>RM302</t>
  </si>
  <si>
    <t>Raw Material 301</t>
  </si>
  <si>
    <t>Raw Material 302</t>
  </si>
  <si>
    <t>prioridade</t>
  </si>
  <si>
    <t>material_output_id</t>
  </si>
  <si>
    <t>lista_tecnica_id</t>
  </si>
  <si>
    <t>material_componente_id</t>
  </si>
  <si>
    <t>LT200</t>
  </si>
  <si>
    <t>LT201</t>
  </si>
  <si>
    <t>LT WP200</t>
  </si>
  <si>
    <t>LT WP201</t>
  </si>
  <si>
    <t>LT301</t>
  </si>
  <si>
    <t>LT302</t>
  </si>
  <si>
    <t>Raw Material 303</t>
  </si>
  <si>
    <t>RM303</t>
  </si>
  <si>
    <t>RM 303 produzido pela fábrica FAC02. É enviado para o fornecedor que retorna por sua vez com WP202, a ser usado para o FG103</t>
  </si>
  <si>
    <t>WP202</t>
  </si>
  <si>
    <t>Work in Process 202</t>
  </si>
  <si>
    <t>LT202</t>
  </si>
  <si>
    <t>LT WP202</t>
  </si>
  <si>
    <t>LT303</t>
  </si>
  <si>
    <t>LT RM303</t>
  </si>
  <si>
    <t>LT101</t>
  </si>
  <si>
    <t>LT102</t>
  </si>
  <si>
    <t>LT103</t>
  </si>
  <si>
    <t>LT100</t>
  </si>
  <si>
    <t>LT FG100</t>
  </si>
  <si>
    <t>LT FG101</t>
  </si>
  <si>
    <t>LT FG102</t>
  </si>
  <si>
    <t>LT FG103</t>
  </si>
  <si>
    <t>RP001</t>
  </si>
  <si>
    <t>RP002</t>
  </si>
  <si>
    <t>RP003</t>
  </si>
  <si>
    <t>RP004</t>
  </si>
  <si>
    <t>FAC001</t>
  </si>
  <si>
    <t>FAC002</t>
  </si>
  <si>
    <t>FAC003</t>
  </si>
  <si>
    <t>RP005</t>
  </si>
  <si>
    <t>SUP001</t>
  </si>
  <si>
    <t>Resource 01 - FAC001</t>
  </si>
  <si>
    <t>Resource 02 - FAC001</t>
  </si>
  <si>
    <t>Resource 01 - SUP001</t>
  </si>
  <si>
    <t>Resource 01 - FAC003</t>
  </si>
  <si>
    <t>Resource 01 - FAC002</t>
  </si>
  <si>
    <t>posicao_operacao</t>
  </si>
  <si>
    <t>receita_producao_id</t>
  </si>
  <si>
    <t>lista_tecnica</t>
  </si>
  <si>
    <t>recurso_produtivo</t>
  </si>
  <si>
    <t>quantidade_base</t>
  </si>
  <si>
    <t>horas_por_quantidade_base</t>
  </si>
  <si>
    <t>lote_minimo</t>
  </si>
  <si>
    <t>FG100 - FAC01 - Recurso 1</t>
  </si>
  <si>
    <t>FG100 - FAC01 - Recurso 2</t>
  </si>
  <si>
    <t>FG100 - FAC03 - Recurso 1</t>
  </si>
  <si>
    <t>FG101 - FAC01 - Recurso 1</t>
  </si>
  <si>
    <t>FG101 - FAC03 - Recurso 1</t>
  </si>
  <si>
    <t>FG102 - FAC02 - Recurso1</t>
  </si>
  <si>
    <t>FG103 - FAC02 - Recurso1</t>
  </si>
  <si>
    <t>RM303 - FAC02 - Recurso 1</t>
  </si>
  <si>
    <t>RM301 - SUP01 - Recurso 1</t>
  </si>
  <si>
    <t>RM302 - SUP01 - Recurso 1</t>
  </si>
  <si>
    <t>WP202 - SUP01 - Recurso 1</t>
  </si>
  <si>
    <t>WP200 - FAC01 - Recurso 2</t>
  </si>
  <si>
    <t>WP200 - FAC03 - Recurso 1</t>
  </si>
  <si>
    <t>WP201 - FAC02 - Recurso 1</t>
  </si>
  <si>
    <t>INSERT</t>
  </si>
  <si>
    <t>location_destino_id</t>
  </si>
  <si>
    <t>cluster_locations_id</t>
  </si>
  <si>
    <t>Prioridade 2 : não deveria ser considerada no supply plan, sendo apenas um 'plano b'. STO04 deveria só consumir produtos de DC01 ou DC03</t>
  </si>
  <si>
    <t>DC 03</t>
  </si>
  <si>
    <t>data_inicio_plano</t>
  </si>
  <si>
    <t>tamanho_bucket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</si>
</sst>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BE91-94B1-462E-A226-E9E34A65CBF1}">
  <dimension ref="A1:F12"/>
  <sheetViews>
    <sheetView workbookViewId="0">
      <selection activeCell="A5" sqref="A5"/>
    </sheetView>
  </sheetViews>
  <sheetFormatPr defaultRowHeight="15" x14ac:dyDescent="0.25"/>
  <cols>
    <col min="2" max="2" width="18.7109375" bestFit="1" customWidth="1"/>
    <col min="4" max="4" width="59.28515625" customWidth="1"/>
  </cols>
  <sheetData>
    <row r="1" spans="1:6" x14ac:dyDescent="0.25">
      <c r="A1" t="s">
        <v>0</v>
      </c>
      <c r="B1" t="s">
        <v>1</v>
      </c>
      <c r="D1" t="s">
        <v>121</v>
      </c>
      <c r="F1" t="s">
        <v>36</v>
      </c>
    </row>
    <row r="2" spans="1:6" x14ac:dyDescent="0.25">
      <c r="A2" t="s">
        <v>6</v>
      </c>
      <c r="B2" t="s">
        <v>8</v>
      </c>
      <c r="D2" t="str">
        <f>"INSERT INTO produto ("&amp;A$1&amp;", "&amp;B$1&amp;") VALUES ('"&amp;A2&amp;"','"&amp;B2&amp;"');"</f>
        <v>INSERT INTO produto (id, descricao) VALUES ('FG100','Finished Good 100');</v>
      </c>
      <c r="F2" t="s">
        <v>37</v>
      </c>
    </row>
    <row r="3" spans="1:6" x14ac:dyDescent="0.25">
      <c r="A3" t="s">
        <v>7</v>
      </c>
      <c r="B3" t="s">
        <v>9</v>
      </c>
      <c r="D3" t="str">
        <f t="shared" ref="D3:D12" si="0">"INSERT INTO produto ("&amp;A$1&amp;", "&amp;B$1&amp;") VALUES ('"&amp;A3&amp;"','"&amp;B3&amp;"');"</f>
        <v>INSERT INTO produto (id, descricao) VALUES ('FG101','Finished Good 101');</v>
      </c>
      <c r="F3" t="s">
        <v>38</v>
      </c>
    </row>
    <row r="4" spans="1:6" x14ac:dyDescent="0.25">
      <c r="A4" t="s">
        <v>43</v>
      </c>
      <c r="B4" t="s">
        <v>45</v>
      </c>
      <c r="D4" t="str">
        <f t="shared" si="0"/>
        <v>INSERT INTO produto (id, descricao) VALUES ('FG102','Finished Good 102');</v>
      </c>
      <c r="F4" t="s">
        <v>52</v>
      </c>
    </row>
    <row r="5" spans="1:6" x14ac:dyDescent="0.25">
      <c r="A5" t="s">
        <v>44</v>
      </c>
      <c r="B5" t="s">
        <v>46</v>
      </c>
      <c r="D5" t="str">
        <f t="shared" si="0"/>
        <v>INSERT INTO produto (id, descricao) VALUES ('FG103','Finished Good 103');</v>
      </c>
      <c r="F5" t="s">
        <v>42</v>
      </c>
    </row>
    <row r="6" spans="1:6" x14ac:dyDescent="0.25">
      <c r="A6" t="s">
        <v>2</v>
      </c>
      <c r="B6" t="s">
        <v>10</v>
      </c>
      <c r="D6" t="str">
        <f t="shared" si="0"/>
        <v>INSERT INTO produto (id, descricao) VALUES ('WP200','Work in Process 200');</v>
      </c>
      <c r="F6" t="s">
        <v>71</v>
      </c>
    </row>
    <row r="7" spans="1:6" x14ac:dyDescent="0.25">
      <c r="A7" t="s">
        <v>3</v>
      </c>
      <c r="B7" t="s">
        <v>55</v>
      </c>
      <c r="D7" t="str">
        <f t="shared" si="0"/>
        <v>INSERT INTO produto (id, descricao) VALUES ('WP201','Work in Process 201');</v>
      </c>
    </row>
    <row r="8" spans="1:6" x14ac:dyDescent="0.25">
      <c r="A8" t="s">
        <v>72</v>
      </c>
      <c r="B8" t="s">
        <v>73</v>
      </c>
      <c r="D8" t="str">
        <f t="shared" si="0"/>
        <v>INSERT INTO produto (id, descricao) VALUES ('WP202','Work in Process 202');</v>
      </c>
    </row>
    <row r="9" spans="1:6" x14ac:dyDescent="0.25">
      <c r="A9" t="s">
        <v>4</v>
      </c>
      <c r="B9" t="s">
        <v>11</v>
      </c>
      <c r="D9" t="str">
        <f t="shared" si="0"/>
        <v>INSERT INTO produto (id, descricao) VALUES ('RM300','Raw Material 300');</v>
      </c>
    </row>
    <row r="10" spans="1:6" x14ac:dyDescent="0.25">
      <c r="A10" t="s">
        <v>5</v>
      </c>
      <c r="B10" t="s">
        <v>57</v>
      </c>
      <c r="D10" t="str">
        <f t="shared" si="0"/>
        <v>INSERT INTO produto (id, descricao) VALUES ('RM301','Raw Material 301');</v>
      </c>
    </row>
    <row r="11" spans="1:6" x14ac:dyDescent="0.25">
      <c r="A11" t="s">
        <v>56</v>
      </c>
      <c r="B11" t="s">
        <v>58</v>
      </c>
      <c r="D11" t="str">
        <f t="shared" si="0"/>
        <v>INSERT INTO produto (id, descricao) VALUES ('RM302','Raw Material 302');</v>
      </c>
    </row>
    <row r="12" spans="1:6" x14ac:dyDescent="0.25">
      <c r="A12" t="s">
        <v>70</v>
      </c>
      <c r="B12" t="s">
        <v>69</v>
      </c>
      <c r="D12" t="str">
        <f t="shared" si="0"/>
        <v>INSERT INTO produto (id, descricao) VALUES ('RM303','Raw Material 303');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90CC-95BE-498A-91FD-92D7F3457338}">
  <dimension ref="A1:D5"/>
  <sheetViews>
    <sheetView workbookViewId="0">
      <selection activeCell="D2" sqref="D2:D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D1" t="s">
        <v>121</v>
      </c>
    </row>
    <row r="2" spans="1:4" x14ac:dyDescent="0.25">
      <c r="A2">
        <v>1</v>
      </c>
      <c r="B2" t="s">
        <v>12</v>
      </c>
      <c r="D2" t="str">
        <f>"INSERT INTO cluster_locations ("&amp;A$1&amp;", "&amp;B$1&amp;") VALUES ('"&amp;A2&amp;"','"&amp;B2&amp;"');"</f>
        <v>INSERT INTO cluster_locations (id, descricao) VALUES ('1','Store Cluster');</v>
      </c>
    </row>
    <row r="3" spans="1:4" x14ac:dyDescent="0.25">
      <c r="A3">
        <v>2</v>
      </c>
      <c r="B3" t="s">
        <v>13</v>
      </c>
      <c r="D3" t="str">
        <f t="shared" ref="D3:D5" si="0">"INSERT INTO cluster_locations ("&amp;A$1&amp;", "&amp;B$1&amp;") VALUES ('"&amp;A3&amp;"','"&amp;B3&amp;"');"</f>
        <v>INSERT INTO cluster_locations (id, descricao) VALUES ('2','DCs Cluster');</v>
      </c>
    </row>
    <row r="4" spans="1:4" x14ac:dyDescent="0.25">
      <c r="A4">
        <v>3</v>
      </c>
      <c r="B4" t="s">
        <v>14</v>
      </c>
      <c r="D4" t="str">
        <f t="shared" si="0"/>
        <v>INSERT INTO cluster_locations (id, descricao) VALUES ('3','Factory Cluster');</v>
      </c>
    </row>
    <row r="5" spans="1:4" x14ac:dyDescent="0.25">
      <c r="A5">
        <v>4</v>
      </c>
      <c r="B5" t="s">
        <v>15</v>
      </c>
      <c r="D5" t="str">
        <f t="shared" si="0"/>
        <v>INSERT INTO cluster_locations (id, descricao) VALUES ('4','Supplier Cluster');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9E07-A493-499E-82EB-02631DADD491}">
  <dimension ref="A1:G12"/>
  <sheetViews>
    <sheetView topLeftCell="A4" workbookViewId="0">
      <selection activeCell="A15" sqref="A15:B27"/>
    </sheetView>
  </sheetViews>
  <sheetFormatPr defaultRowHeight="15" x14ac:dyDescent="0.25"/>
  <cols>
    <col min="2" max="2" width="10.85546875" bestFit="1" customWidth="1"/>
    <col min="3" max="3" width="16.140625" bestFit="1" customWidth="1"/>
    <col min="4" max="4" width="16.140625" customWidth="1"/>
    <col min="5" max="5" width="79.85546875" bestFit="1" customWidth="1"/>
  </cols>
  <sheetData>
    <row r="1" spans="1:7" x14ac:dyDescent="0.25">
      <c r="A1" t="s">
        <v>0</v>
      </c>
      <c r="B1" t="s">
        <v>1</v>
      </c>
      <c r="C1" t="s">
        <v>123</v>
      </c>
      <c r="E1" t="s">
        <v>121</v>
      </c>
      <c r="G1" t="s">
        <v>36</v>
      </c>
    </row>
    <row r="2" spans="1:7" x14ac:dyDescent="0.25">
      <c r="A2" t="s">
        <v>28</v>
      </c>
      <c r="B2" t="s">
        <v>16</v>
      </c>
      <c r="C2">
        <v>1</v>
      </c>
      <c r="E2" t="str">
        <f>"INSERT INTO location ("&amp;A$1&amp;", "&amp;B$1&amp;","&amp;C$1&amp;") VALUES ('"&amp;A2&amp;"','"&amp;B2&amp;"','"&amp;C2&amp;"');"</f>
        <v>INSERT INTO location (id, descricao,cluster_locations_id) VALUES ('STO01','Store 01','1');</v>
      </c>
      <c r="G2" t="s">
        <v>37</v>
      </c>
    </row>
    <row r="3" spans="1:7" x14ac:dyDescent="0.25">
      <c r="A3" t="s">
        <v>29</v>
      </c>
      <c r="B3" t="s">
        <v>17</v>
      </c>
      <c r="C3">
        <v>1</v>
      </c>
      <c r="E3" t="str">
        <f t="shared" ref="E3:E12" si="0">"INSERT INTO location ("&amp;A$1&amp;", "&amp;B$1&amp;","&amp;C$1&amp;") VALUES ('"&amp;A3&amp;"','"&amp;B3&amp;"','"&amp;C3&amp;"');"</f>
        <v>INSERT INTO location (id, descricao,cluster_locations_id) VALUES ('STO02','Store 02','1');</v>
      </c>
      <c r="G3" t="s">
        <v>38</v>
      </c>
    </row>
    <row r="4" spans="1:7" x14ac:dyDescent="0.25">
      <c r="A4" t="s">
        <v>30</v>
      </c>
      <c r="B4" t="s">
        <v>18</v>
      </c>
      <c r="C4">
        <v>1</v>
      </c>
      <c r="E4" t="str">
        <f t="shared" si="0"/>
        <v>INSERT INTO location (id, descricao,cluster_locations_id) VALUES ('STO03','Store 03','1');</v>
      </c>
      <c r="G4" t="s">
        <v>52</v>
      </c>
    </row>
    <row r="5" spans="1:7" x14ac:dyDescent="0.25">
      <c r="A5" t="s">
        <v>31</v>
      </c>
      <c r="B5" t="s">
        <v>19</v>
      </c>
      <c r="C5">
        <v>1</v>
      </c>
      <c r="E5" t="str">
        <f t="shared" si="0"/>
        <v>INSERT INTO location (id, descricao,cluster_locations_id) VALUES ('STO04','Store 04','1');</v>
      </c>
      <c r="G5" t="s">
        <v>42</v>
      </c>
    </row>
    <row r="6" spans="1:7" x14ac:dyDescent="0.25">
      <c r="A6" t="s">
        <v>27</v>
      </c>
      <c r="B6" t="s">
        <v>20</v>
      </c>
      <c r="C6">
        <v>2</v>
      </c>
      <c r="E6" t="str">
        <f t="shared" si="0"/>
        <v>INSERT INTO location (id, descricao,cluster_locations_id) VALUES ('DC01','DC 01','2');</v>
      </c>
      <c r="G6" t="s">
        <v>71</v>
      </c>
    </row>
    <row r="7" spans="1:7" x14ac:dyDescent="0.25">
      <c r="A7" t="s">
        <v>32</v>
      </c>
      <c r="B7" t="s">
        <v>21</v>
      </c>
      <c r="C7">
        <v>2</v>
      </c>
      <c r="E7" t="str">
        <f t="shared" si="0"/>
        <v>INSERT INTO location (id, descricao,cluster_locations_id) VALUES ('DC02','DC 02','2');</v>
      </c>
    </row>
    <row r="8" spans="1:7" x14ac:dyDescent="0.25">
      <c r="A8" t="s">
        <v>39</v>
      </c>
      <c r="B8" t="s">
        <v>125</v>
      </c>
      <c r="C8">
        <v>2</v>
      </c>
      <c r="E8" t="str">
        <f t="shared" ref="E8" si="1">"INSERT INTO location ("&amp;A$1&amp;", "&amp;B$1&amp;","&amp;C$1&amp;") VALUES ('"&amp;A8&amp;"','"&amp;B8&amp;"','"&amp;C8&amp;"');"</f>
        <v>INSERT INTO location (id, descricao,cluster_locations_id) VALUES ('DC03','DC 03','2');</v>
      </c>
    </row>
    <row r="9" spans="1:7" x14ac:dyDescent="0.25">
      <c r="A9" t="s">
        <v>33</v>
      </c>
      <c r="B9" t="s">
        <v>22</v>
      </c>
      <c r="C9">
        <v>3</v>
      </c>
      <c r="E9" t="str">
        <f t="shared" si="0"/>
        <v>INSERT INTO location (id, descricao,cluster_locations_id) VALUES ('FAC01','Factory 01','3');</v>
      </c>
    </row>
    <row r="10" spans="1:7" x14ac:dyDescent="0.25">
      <c r="A10" t="s">
        <v>34</v>
      </c>
      <c r="B10" t="s">
        <v>23</v>
      </c>
      <c r="C10">
        <v>3</v>
      </c>
      <c r="E10" t="str">
        <f t="shared" si="0"/>
        <v>INSERT INTO location (id, descricao,cluster_locations_id) VALUES ('FAC02','Factory 02','3');</v>
      </c>
    </row>
    <row r="11" spans="1:7" x14ac:dyDescent="0.25">
      <c r="A11" t="s">
        <v>40</v>
      </c>
      <c r="B11" t="s">
        <v>41</v>
      </c>
      <c r="C11">
        <v>3</v>
      </c>
      <c r="E11" t="str">
        <f t="shared" si="0"/>
        <v>INSERT INTO location (id, descricao,cluster_locations_id) VALUES ('FAC03','Factory 03','3');</v>
      </c>
    </row>
    <row r="12" spans="1:7" x14ac:dyDescent="0.25">
      <c r="A12" t="s">
        <v>35</v>
      </c>
      <c r="B12" t="s">
        <v>24</v>
      </c>
      <c r="C12">
        <v>4</v>
      </c>
      <c r="E12" t="str">
        <f t="shared" si="0"/>
        <v>INSERT INTO location (id, descricao,cluster_locations_id) VALUES ('SUP01','Supplier 01','4');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7D6E-7B3E-4BF6-A74E-1608F97F475A}">
  <dimension ref="A1:G13"/>
  <sheetViews>
    <sheetView workbookViewId="0">
      <selection activeCell="E2" sqref="E2:E13"/>
    </sheetView>
  </sheetViews>
  <sheetFormatPr defaultRowHeight="15" x14ac:dyDescent="0.25"/>
  <cols>
    <col min="1" max="1" width="18.42578125" bestFit="1" customWidth="1"/>
    <col min="2" max="2" width="18.85546875" bestFit="1" customWidth="1"/>
    <col min="3" max="3" width="14.7109375" bestFit="1" customWidth="1"/>
    <col min="4" max="4" width="10.28515625" bestFit="1" customWidth="1"/>
    <col min="5" max="5" width="105.85546875" bestFit="1" customWidth="1"/>
  </cols>
  <sheetData>
    <row r="1" spans="1:7" x14ac:dyDescent="0.25">
      <c r="A1" t="s">
        <v>25</v>
      </c>
      <c r="B1" t="s">
        <v>122</v>
      </c>
      <c r="C1" t="s">
        <v>26</v>
      </c>
      <c r="D1" t="s">
        <v>59</v>
      </c>
      <c r="E1" t="s">
        <v>121</v>
      </c>
      <c r="G1" t="s">
        <v>36</v>
      </c>
    </row>
    <row r="2" spans="1:7" x14ac:dyDescent="0.25">
      <c r="A2" t="s">
        <v>27</v>
      </c>
      <c r="B2" t="s">
        <v>28</v>
      </c>
      <c r="C2">
        <v>1</v>
      </c>
      <c r="D2">
        <v>1</v>
      </c>
      <c r="E2" t="str">
        <f>"INSERT INTO linha_transporte ("&amp;A$1&amp;", "&amp;B$1&amp;","&amp;C$1&amp;","&amp;D$1&amp;") VALUES ('"&amp;A2&amp;"','"&amp;B2&amp;"','"&amp;C2&amp;"','"&amp;D2&amp;"');"</f>
        <v>INSERT INTO linha_transporte (location_origem_id, location_destino_id,lead_time_dias,prioridade) VALUES ('DC01','STO01','1','1');</v>
      </c>
      <c r="G2" t="s">
        <v>37</v>
      </c>
    </row>
    <row r="3" spans="1:7" x14ac:dyDescent="0.25">
      <c r="A3" t="s">
        <v>27</v>
      </c>
      <c r="B3" t="s">
        <v>29</v>
      </c>
      <c r="C3">
        <v>2</v>
      </c>
      <c r="D3">
        <v>1</v>
      </c>
      <c r="E3" t="str">
        <f t="shared" ref="E3:E13" si="0">"INSERT INTO linha_transporte ("&amp;A$1&amp;", "&amp;B$1&amp;","&amp;C$1&amp;","&amp;D$1&amp;") VALUES ('"&amp;A3&amp;"','"&amp;B3&amp;"','"&amp;C3&amp;"','"&amp;D3&amp;"');"</f>
        <v>INSERT INTO linha_transporte (location_origem_id, location_destino_id,lead_time_dias,prioridade) VALUES ('DC01','STO02','2','1');</v>
      </c>
      <c r="G3" t="s">
        <v>38</v>
      </c>
    </row>
    <row r="4" spans="1:7" x14ac:dyDescent="0.25">
      <c r="A4" t="s">
        <v>27</v>
      </c>
      <c r="B4" t="s">
        <v>30</v>
      </c>
      <c r="C4">
        <v>2</v>
      </c>
      <c r="D4">
        <v>1</v>
      </c>
      <c r="E4" t="str">
        <f t="shared" si="0"/>
        <v>INSERT INTO linha_transporte (location_origem_id, location_destino_id,lead_time_dias,prioridade) VALUES ('DC01','STO03','2','1');</v>
      </c>
      <c r="G4" t="s">
        <v>52</v>
      </c>
    </row>
    <row r="5" spans="1:7" x14ac:dyDescent="0.25">
      <c r="A5" t="s">
        <v>27</v>
      </c>
      <c r="B5" t="s">
        <v>31</v>
      </c>
      <c r="C5">
        <v>1</v>
      </c>
      <c r="D5">
        <v>1</v>
      </c>
      <c r="E5" t="str">
        <f t="shared" si="0"/>
        <v>INSERT INTO linha_transporte (location_origem_id, location_destino_id,lead_time_dias,prioridade) VALUES ('DC01','STO04','1','1');</v>
      </c>
      <c r="G5" t="s">
        <v>42</v>
      </c>
    </row>
    <row r="6" spans="1:7" x14ac:dyDescent="0.25">
      <c r="A6" t="s">
        <v>32</v>
      </c>
      <c r="B6" t="s">
        <v>28</v>
      </c>
      <c r="C6">
        <v>2</v>
      </c>
      <c r="D6">
        <v>1</v>
      </c>
      <c r="E6" t="str">
        <f t="shared" si="0"/>
        <v>INSERT INTO linha_transporte (location_origem_id, location_destino_id,lead_time_dias,prioridade) VALUES ('DC02','STO01','2','1');</v>
      </c>
      <c r="G6" t="s">
        <v>71</v>
      </c>
    </row>
    <row r="7" spans="1:7" x14ac:dyDescent="0.25">
      <c r="A7" t="s">
        <v>32</v>
      </c>
      <c r="B7" t="s">
        <v>29</v>
      </c>
      <c r="C7">
        <v>3</v>
      </c>
      <c r="D7">
        <v>1</v>
      </c>
      <c r="E7" t="str">
        <f t="shared" si="0"/>
        <v>INSERT INTO linha_transporte (location_origem_id, location_destino_id,lead_time_dias,prioridade) VALUES ('DC02','STO02','3','1');</v>
      </c>
    </row>
    <row r="8" spans="1:7" x14ac:dyDescent="0.25">
      <c r="A8" t="s">
        <v>32</v>
      </c>
      <c r="B8" t="s">
        <v>30</v>
      </c>
      <c r="C8">
        <v>3</v>
      </c>
      <c r="D8">
        <v>1</v>
      </c>
      <c r="E8" t="str">
        <f t="shared" si="0"/>
        <v>INSERT INTO linha_transporte (location_origem_id, location_destino_id,lead_time_dias,prioridade) VALUES ('DC02','STO03','3','1');</v>
      </c>
    </row>
    <row r="9" spans="1:7" x14ac:dyDescent="0.25">
      <c r="A9" t="s">
        <v>32</v>
      </c>
      <c r="B9" t="s">
        <v>31</v>
      </c>
      <c r="C9">
        <v>7</v>
      </c>
      <c r="D9">
        <v>2</v>
      </c>
      <c r="E9" t="str">
        <f t="shared" si="0"/>
        <v>INSERT INTO linha_transporte (location_origem_id, location_destino_id,lead_time_dias,prioridade) VALUES ('DC02','STO04','7','2');</v>
      </c>
      <c r="G9" t="s">
        <v>124</v>
      </c>
    </row>
    <row r="10" spans="1:7" x14ac:dyDescent="0.25">
      <c r="A10" t="s">
        <v>39</v>
      </c>
      <c r="B10" t="s">
        <v>31</v>
      </c>
      <c r="C10">
        <v>1</v>
      </c>
      <c r="D10">
        <v>1</v>
      </c>
      <c r="E10" t="str">
        <f t="shared" si="0"/>
        <v>INSERT INTO linha_transporte (location_origem_id, location_destino_id,lead_time_dias,prioridade) VALUES ('DC03','STO04','1','1');</v>
      </c>
    </row>
    <row r="11" spans="1:7" x14ac:dyDescent="0.25">
      <c r="A11" t="s">
        <v>33</v>
      </c>
      <c r="B11" t="s">
        <v>27</v>
      </c>
      <c r="C11">
        <v>4</v>
      </c>
      <c r="D11">
        <v>1</v>
      </c>
      <c r="E11" t="str">
        <f t="shared" si="0"/>
        <v>INSERT INTO linha_transporte (location_origem_id, location_destino_id,lead_time_dias,prioridade) VALUES ('FAC01','DC01','4','1');</v>
      </c>
    </row>
    <row r="12" spans="1:7" x14ac:dyDescent="0.25">
      <c r="A12" t="s">
        <v>34</v>
      </c>
      <c r="B12" t="s">
        <v>32</v>
      </c>
      <c r="C12">
        <v>10</v>
      </c>
      <c r="D12">
        <v>1</v>
      </c>
      <c r="E12" t="str">
        <f t="shared" si="0"/>
        <v>INSERT INTO linha_transporte (location_origem_id, location_destino_id,lead_time_dias,prioridade) VALUES ('FAC02','DC02','10','1');</v>
      </c>
    </row>
    <row r="13" spans="1:7" x14ac:dyDescent="0.25">
      <c r="A13" t="s">
        <v>40</v>
      </c>
      <c r="B13" t="s">
        <v>39</v>
      </c>
      <c r="C13">
        <v>7</v>
      </c>
      <c r="D13">
        <v>1</v>
      </c>
      <c r="E13" t="str">
        <f t="shared" si="0"/>
        <v>INSERT INTO linha_transporte (location_origem_id, location_destino_id,lead_time_dias,prioridade) VALUES ('FAC03','DC03','7','1');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F9B0-6E62-4EA6-9A83-4F915FB9E107}">
  <dimension ref="A1:E2"/>
  <sheetViews>
    <sheetView workbookViewId="0">
      <selection activeCell="E2" sqref="E2"/>
    </sheetView>
  </sheetViews>
  <sheetFormatPr defaultRowHeight="15" x14ac:dyDescent="0.25"/>
  <cols>
    <col min="2" max="2" width="15.28515625" bestFit="1" customWidth="1"/>
    <col min="3" max="3" width="14.85546875" bestFit="1" customWidth="1"/>
    <col min="4" max="4" width="15" bestFit="1" customWidth="1"/>
  </cols>
  <sheetData>
    <row r="1" spans="1:5" x14ac:dyDescent="0.25">
      <c r="A1" t="s">
        <v>0</v>
      </c>
      <c r="B1" t="s">
        <v>1</v>
      </c>
      <c r="C1" t="s">
        <v>126</v>
      </c>
      <c r="D1" t="s">
        <v>127</v>
      </c>
      <c r="E1" t="s">
        <v>121</v>
      </c>
    </row>
    <row r="2" spans="1:5" x14ac:dyDescent="0.25">
      <c r="A2">
        <v>1</v>
      </c>
      <c r="B2" t="s">
        <v>47</v>
      </c>
      <c r="C2" s="1">
        <v>43831</v>
      </c>
      <c r="D2">
        <v>2</v>
      </c>
      <c r="E2" t="str">
        <f>"INSERT INTO demand_plan ("&amp;A$1&amp;", "&amp;B$1&amp;","&amp;C$1&amp;","&amp;D$1&amp;") VALUES ('"&amp;A2&amp;"','"&amp;B2&amp;"','"&amp;YEAR(C2)&amp;"-"&amp;MONTH(C2)&amp;"-"&amp;DAY(C2)&amp;"','"&amp;D2&amp;"');"</f>
        <v>INSERT INTO demand_plan (id, descricao,data_inicio_plano,tamanho_bucket) VALUES ('1','Demand Plan 01','2020-1-1','2');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7A86-3F32-4CF7-B313-862782521932}">
  <dimension ref="A1:F49"/>
  <sheetViews>
    <sheetView workbookViewId="0">
      <selection activeCell="C1" sqref="C1"/>
    </sheetView>
  </sheetViews>
  <sheetFormatPr defaultRowHeight="15" x14ac:dyDescent="0.25"/>
  <cols>
    <col min="1" max="1" width="16" bestFit="1" customWidth="1"/>
    <col min="2" max="3" width="10.85546875" bestFit="1" customWidth="1"/>
    <col min="4" max="4" width="15.140625" bestFit="1" customWidth="1"/>
  </cols>
  <sheetData>
    <row r="1" spans="1:6" x14ac:dyDescent="0.25">
      <c r="A1" t="s">
        <v>48</v>
      </c>
      <c r="B1" t="s">
        <v>49</v>
      </c>
      <c r="C1" t="s">
        <v>50</v>
      </c>
      <c r="D1" t="s">
        <v>51</v>
      </c>
      <c r="E1" t="s">
        <v>54</v>
      </c>
      <c r="F1" t="s">
        <v>121</v>
      </c>
    </row>
    <row r="2" spans="1:6" x14ac:dyDescent="0.25">
      <c r="A2">
        <v>1</v>
      </c>
      <c r="B2" t="s">
        <v>28</v>
      </c>
      <c r="C2" t="s">
        <v>6</v>
      </c>
      <c r="D2" s="1">
        <v>43861</v>
      </c>
      <c r="E2">
        <v>5</v>
      </c>
      <c r="F2" t="str">
        <f>"INSERT INTO demand_plan_linha ("&amp;A$1&amp;","&amp;B$1&amp;", "&amp;C$1&amp;","&amp;D$1&amp;","&amp;E$1&amp;") VALUES ('"&amp;A2&amp;"','"&amp;B2&amp;"','"&amp;C2&amp;"','"&amp;YEAR(D2)&amp;"-"&amp;MONTH(D2)&amp;"-"&amp;DAY(D2)&amp;"','"&amp;E2&amp;"');"</f>
        <v>INSERT INTO demand_plan_linha (demand_plan_id,location_id, produto_id,data_referencia,quantidade_baseline) VALUES ('1','STO01','FG100','2020-1-31','5');</v>
      </c>
    </row>
    <row r="3" spans="1:6" x14ac:dyDescent="0.25">
      <c r="A3">
        <v>1</v>
      </c>
      <c r="B3" t="s">
        <v>28</v>
      </c>
      <c r="C3" t="s">
        <v>7</v>
      </c>
      <c r="D3" s="1">
        <v>43861</v>
      </c>
      <c r="E3">
        <v>5</v>
      </c>
      <c r="F3" t="str">
        <f t="shared" ref="F3:F49" si="0">"INSERT INTO demand_plan_linha ("&amp;A$1&amp;","&amp;B$1&amp;", "&amp;C$1&amp;","&amp;D$1&amp;","&amp;E$1&amp;") VALUES ('"&amp;A3&amp;"','"&amp;B3&amp;"','"&amp;C3&amp;"','"&amp;YEAR(D3)&amp;"-"&amp;MONTH(D3)&amp;"-"&amp;DAY(D3)&amp;"','"&amp;E3&amp;"');"</f>
        <v>INSERT INTO demand_plan_linha (demand_plan_id,location_id, produto_id,data_referencia,quantidade_baseline) VALUES ('1','STO01','FG101','2020-1-31','5');</v>
      </c>
    </row>
    <row r="4" spans="1:6" x14ac:dyDescent="0.25">
      <c r="A4">
        <v>1</v>
      </c>
      <c r="B4" t="s">
        <v>28</v>
      </c>
      <c r="C4" t="s">
        <v>43</v>
      </c>
      <c r="D4" s="1">
        <v>43861</v>
      </c>
      <c r="E4">
        <v>5</v>
      </c>
      <c r="F4" t="str">
        <f t="shared" si="0"/>
        <v>INSERT INTO demand_plan_linha (demand_plan_id,location_id, produto_id,data_referencia,quantidade_baseline) VALUES ('1','STO01','FG102','2020-1-31','5');</v>
      </c>
    </row>
    <row r="5" spans="1:6" x14ac:dyDescent="0.25">
      <c r="A5">
        <v>1</v>
      </c>
      <c r="B5" t="s">
        <v>28</v>
      </c>
      <c r="C5" t="s">
        <v>44</v>
      </c>
      <c r="D5" s="1">
        <v>43861</v>
      </c>
      <c r="E5">
        <v>5</v>
      </c>
      <c r="F5" t="str">
        <f t="shared" si="0"/>
        <v>INSERT INTO demand_plan_linha (demand_plan_id,location_id, produto_id,data_referencia,quantidade_baseline) VALUES ('1','STO01','FG103','2020-1-31','5');</v>
      </c>
    </row>
    <row r="6" spans="1:6" x14ac:dyDescent="0.25">
      <c r="A6">
        <v>1</v>
      </c>
      <c r="B6" t="s">
        <v>28</v>
      </c>
      <c r="C6" t="s">
        <v>6</v>
      </c>
      <c r="D6" s="1">
        <v>43890</v>
      </c>
      <c r="E6">
        <v>5</v>
      </c>
      <c r="F6" t="str">
        <f t="shared" si="0"/>
        <v>INSERT INTO demand_plan_linha (demand_plan_id,location_id, produto_id,data_referencia,quantidade_baseline) VALUES ('1','STO01','FG100','2020-2-29','5');</v>
      </c>
    </row>
    <row r="7" spans="1:6" x14ac:dyDescent="0.25">
      <c r="A7">
        <v>1</v>
      </c>
      <c r="B7" t="s">
        <v>28</v>
      </c>
      <c r="C7" t="s">
        <v>7</v>
      </c>
      <c r="D7" s="1">
        <v>43890</v>
      </c>
      <c r="E7">
        <v>5</v>
      </c>
      <c r="F7" t="str">
        <f t="shared" si="0"/>
        <v>INSERT INTO demand_plan_linha (demand_plan_id,location_id, produto_id,data_referencia,quantidade_baseline) VALUES ('1','STO01','FG101','2020-2-29','5');</v>
      </c>
    </row>
    <row r="8" spans="1:6" x14ac:dyDescent="0.25">
      <c r="A8">
        <v>1</v>
      </c>
      <c r="B8" t="s">
        <v>28</v>
      </c>
      <c r="C8" t="s">
        <v>43</v>
      </c>
      <c r="D8" s="1">
        <v>43890</v>
      </c>
      <c r="E8">
        <v>5</v>
      </c>
      <c r="F8" t="str">
        <f t="shared" si="0"/>
        <v>INSERT INTO demand_plan_linha (demand_plan_id,location_id, produto_id,data_referencia,quantidade_baseline) VALUES ('1','STO01','FG102','2020-2-29','5');</v>
      </c>
    </row>
    <row r="9" spans="1:6" x14ac:dyDescent="0.25">
      <c r="A9">
        <v>1</v>
      </c>
      <c r="B9" t="s">
        <v>28</v>
      </c>
      <c r="C9" t="s">
        <v>44</v>
      </c>
      <c r="D9" s="1">
        <v>43890</v>
      </c>
      <c r="E9">
        <v>5</v>
      </c>
      <c r="F9" t="str">
        <f t="shared" si="0"/>
        <v>INSERT INTO demand_plan_linha (demand_plan_id,location_id, produto_id,data_referencia,quantidade_baseline) VALUES ('1','STO01','FG103','2020-2-29','5');</v>
      </c>
    </row>
    <row r="10" spans="1:6" x14ac:dyDescent="0.25">
      <c r="A10">
        <v>1</v>
      </c>
      <c r="B10" t="s">
        <v>28</v>
      </c>
      <c r="C10" t="s">
        <v>6</v>
      </c>
      <c r="D10" s="1">
        <v>43921</v>
      </c>
      <c r="E10">
        <v>5</v>
      </c>
      <c r="F10" t="str">
        <f t="shared" si="0"/>
        <v>INSERT INTO demand_plan_linha (demand_plan_id,location_id, produto_id,data_referencia,quantidade_baseline) VALUES ('1','STO01','FG100','2020-3-31','5');</v>
      </c>
    </row>
    <row r="11" spans="1:6" x14ac:dyDescent="0.25">
      <c r="A11">
        <v>1</v>
      </c>
      <c r="B11" t="s">
        <v>28</v>
      </c>
      <c r="C11" t="s">
        <v>7</v>
      </c>
      <c r="D11" s="1">
        <v>43921</v>
      </c>
      <c r="E11">
        <v>5</v>
      </c>
      <c r="F11" t="str">
        <f t="shared" si="0"/>
        <v>INSERT INTO demand_plan_linha (demand_plan_id,location_id, produto_id,data_referencia,quantidade_baseline) VALUES ('1','STO01','FG101','2020-3-31','5');</v>
      </c>
    </row>
    <row r="12" spans="1:6" x14ac:dyDescent="0.25">
      <c r="A12">
        <v>1</v>
      </c>
      <c r="B12" t="s">
        <v>28</v>
      </c>
      <c r="C12" t="s">
        <v>43</v>
      </c>
      <c r="D12" s="1">
        <v>43921</v>
      </c>
      <c r="E12">
        <v>5</v>
      </c>
      <c r="F12" t="str">
        <f t="shared" si="0"/>
        <v>INSERT INTO demand_plan_linha (demand_plan_id,location_id, produto_id,data_referencia,quantidade_baseline) VALUES ('1','STO01','FG102','2020-3-31','5');</v>
      </c>
    </row>
    <row r="13" spans="1:6" x14ac:dyDescent="0.25">
      <c r="A13">
        <v>1</v>
      </c>
      <c r="B13" t="s">
        <v>28</v>
      </c>
      <c r="C13" t="s">
        <v>44</v>
      </c>
      <c r="D13" s="1">
        <v>43921</v>
      </c>
      <c r="E13">
        <v>5</v>
      </c>
      <c r="F13" t="str">
        <f t="shared" si="0"/>
        <v>INSERT INTO demand_plan_linha (demand_plan_id,location_id, produto_id,data_referencia,quantidade_baseline) VALUES ('1','STO01','FG103','2020-3-31','5');</v>
      </c>
    </row>
    <row r="14" spans="1:6" x14ac:dyDescent="0.25">
      <c r="A14">
        <v>1</v>
      </c>
      <c r="B14" t="s">
        <v>29</v>
      </c>
      <c r="C14" t="s">
        <v>6</v>
      </c>
      <c r="D14" s="1">
        <v>43861</v>
      </c>
      <c r="E14">
        <v>10</v>
      </c>
      <c r="F14" t="str">
        <f t="shared" si="0"/>
        <v>INSERT INTO demand_plan_linha (demand_plan_id,location_id, produto_id,data_referencia,quantidade_baseline) VALUES ('1','STO02','FG100','2020-1-31','10');</v>
      </c>
    </row>
    <row r="15" spans="1:6" x14ac:dyDescent="0.25">
      <c r="A15">
        <v>1</v>
      </c>
      <c r="B15" t="s">
        <v>29</v>
      </c>
      <c r="C15" t="s">
        <v>7</v>
      </c>
      <c r="D15" s="1">
        <v>43861</v>
      </c>
      <c r="E15">
        <v>10</v>
      </c>
      <c r="F15" t="str">
        <f t="shared" si="0"/>
        <v>INSERT INTO demand_plan_linha (demand_plan_id,location_id, produto_id,data_referencia,quantidade_baseline) VALUES ('1','STO02','FG101','2020-1-31','10');</v>
      </c>
    </row>
    <row r="16" spans="1:6" x14ac:dyDescent="0.25">
      <c r="A16">
        <v>1</v>
      </c>
      <c r="B16" t="s">
        <v>29</v>
      </c>
      <c r="C16" t="s">
        <v>43</v>
      </c>
      <c r="D16" s="1">
        <v>43861</v>
      </c>
      <c r="E16">
        <v>10</v>
      </c>
      <c r="F16" t="str">
        <f t="shared" si="0"/>
        <v>INSERT INTO demand_plan_linha (demand_plan_id,location_id, produto_id,data_referencia,quantidade_baseline) VALUES ('1','STO02','FG102','2020-1-31','10');</v>
      </c>
    </row>
    <row r="17" spans="1:6" x14ac:dyDescent="0.25">
      <c r="A17">
        <v>1</v>
      </c>
      <c r="B17" t="s">
        <v>29</v>
      </c>
      <c r="C17" t="s">
        <v>44</v>
      </c>
      <c r="D17" s="1">
        <v>43861</v>
      </c>
      <c r="E17">
        <v>10</v>
      </c>
      <c r="F17" t="str">
        <f t="shared" si="0"/>
        <v>INSERT INTO demand_plan_linha (demand_plan_id,location_id, produto_id,data_referencia,quantidade_baseline) VALUES ('1','STO02','FG103','2020-1-31','10');</v>
      </c>
    </row>
    <row r="18" spans="1:6" x14ac:dyDescent="0.25">
      <c r="A18">
        <v>1</v>
      </c>
      <c r="B18" t="s">
        <v>29</v>
      </c>
      <c r="C18" t="s">
        <v>6</v>
      </c>
      <c r="D18" s="1">
        <v>43890</v>
      </c>
      <c r="E18">
        <v>10</v>
      </c>
      <c r="F18" t="str">
        <f t="shared" si="0"/>
        <v>INSERT INTO demand_plan_linha (demand_plan_id,location_id, produto_id,data_referencia,quantidade_baseline) VALUES ('1','STO02','FG100','2020-2-29','10');</v>
      </c>
    </row>
    <row r="19" spans="1:6" x14ac:dyDescent="0.25">
      <c r="A19">
        <v>1</v>
      </c>
      <c r="B19" t="s">
        <v>29</v>
      </c>
      <c r="C19" t="s">
        <v>7</v>
      </c>
      <c r="D19" s="1">
        <v>43890</v>
      </c>
      <c r="E19">
        <v>10</v>
      </c>
      <c r="F19" t="str">
        <f t="shared" si="0"/>
        <v>INSERT INTO demand_plan_linha (demand_plan_id,location_id, produto_id,data_referencia,quantidade_baseline) VALUES ('1','STO02','FG101','2020-2-29','10');</v>
      </c>
    </row>
    <row r="20" spans="1:6" x14ac:dyDescent="0.25">
      <c r="A20">
        <v>1</v>
      </c>
      <c r="B20" t="s">
        <v>29</v>
      </c>
      <c r="C20" t="s">
        <v>43</v>
      </c>
      <c r="D20" s="1">
        <v>43890</v>
      </c>
      <c r="E20">
        <v>10</v>
      </c>
      <c r="F20" t="str">
        <f t="shared" si="0"/>
        <v>INSERT INTO demand_plan_linha (demand_plan_id,location_id, produto_id,data_referencia,quantidade_baseline) VALUES ('1','STO02','FG102','2020-2-29','10');</v>
      </c>
    </row>
    <row r="21" spans="1:6" x14ac:dyDescent="0.25">
      <c r="A21">
        <v>1</v>
      </c>
      <c r="B21" t="s">
        <v>29</v>
      </c>
      <c r="C21" t="s">
        <v>44</v>
      </c>
      <c r="D21" s="1">
        <v>43890</v>
      </c>
      <c r="E21">
        <v>10</v>
      </c>
      <c r="F21" t="str">
        <f t="shared" si="0"/>
        <v>INSERT INTO demand_plan_linha (demand_plan_id,location_id, produto_id,data_referencia,quantidade_baseline) VALUES ('1','STO02','FG103','2020-2-29','10');</v>
      </c>
    </row>
    <row r="22" spans="1:6" x14ac:dyDescent="0.25">
      <c r="A22">
        <v>1</v>
      </c>
      <c r="B22" t="s">
        <v>29</v>
      </c>
      <c r="C22" t="s">
        <v>6</v>
      </c>
      <c r="D22" s="1">
        <v>43921</v>
      </c>
      <c r="E22">
        <v>10</v>
      </c>
      <c r="F22" t="str">
        <f t="shared" si="0"/>
        <v>INSERT INTO demand_plan_linha (demand_plan_id,location_id, produto_id,data_referencia,quantidade_baseline) VALUES ('1','STO02','FG100','2020-3-31','10');</v>
      </c>
    </row>
    <row r="23" spans="1:6" x14ac:dyDescent="0.25">
      <c r="A23">
        <v>1</v>
      </c>
      <c r="B23" t="s">
        <v>29</v>
      </c>
      <c r="C23" t="s">
        <v>7</v>
      </c>
      <c r="D23" s="1">
        <v>43921</v>
      </c>
      <c r="E23">
        <v>10</v>
      </c>
      <c r="F23" t="str">
        <f t="shared" si="0"/>
        <v>INSERT INTO demand_plan_linha (demand_plan_id,location_id, produto_id,data_referencia,quantidade_baseline) VALUES ('1','STO02','FG101','2020-3-31','10');</v>
      </c>
    </row>
    <row r="24" spans="1:6" x14ac:dyDescent="0.25">
      <c r="A24">
        <v>1</v>
      </c>
      <c r="B24" t="s">
        <v>29</v>
      </c>
      <c r="C24" t="s">
        <v>43</v>
      </c>
      <c r="D24" s="1">
        <v>43921</v>
      </c>
      <c r="E24">
        <v>10</v>
      </c>
      <c r="F24" t="str">
        <f t="shared" si="0"/>
        <v>INSERT INTO demand_plan_linha (demand_plan_id,location_id, produto_id,data_referencia,quantidade_baseline) VALUES ('1','STO02','FG102','2020-3-31','10');</v>
      </c>
    </row>
    <row r="25" spans="1:6" x14ac:dyDescent="0.25">
      <c r="A25">
        <v>1</v>
      </c>
      <c r="B25" t="s">
        <v>29</v>
      </c>
      <c r="C25" t="s">
        <v>44</v>
      </c>
      <c r="D25" s="1">
        <v>43921</v>
      </c>
      <c r="E25">
        <v>10</v>
      </c>
      <c r="F25" t="str">
        <f t="shared" si="0"/>
        <v>INSERT INTO demand_plan_linha (demand_plan_id,location_id, produto_id,data_referencia,quantidade_baseline) VALUES ('1','STO02','FG103','2020-3-31','10');</v>
      </c>
    </row>
    <row r="26" spans="1:6" x14ac:dyDescent="0.25">
      <c r="A26">
        <v>1</v>
      </c>
      <c r="B26" t="s">
        <v>30</v>
      </c>
      <c r="C26" t="s">
        <v>6</v>
      </c>
      <c r="D26" s="1">
        <v>43861</v>
      </c>
      <c r="E26">
        <v>15</v>
      </c>
      <c r="F26" t="str">
        <f t="shared" si="0"/>
        <v>INSERT INTO demand_plan_linha (demand_plan_id,location_id, produto_id,data_referencia,quantidade_baseline) VALUES ('1','STO03','FG100','2020-1-31','15');</v>
      </c>
    </row>
    <row r="27" spans="1:6" x14ac:dyDescent="0.25">
      <c r="A27">
        <v>1</v>
      </c>
      <c r="B27" t="s">
        <v>30</v>
      </c>
      <c r="C27" t="s">
        <v>7</v>
      </c>
      <c r="D27" s="1">
        <v>43861</v>
      </c>
      <c r="E27">
        <v>15</v>
      </c>
      <c r="F27" t="str">
        <f t="shared" si="0"/>
        <v>INSERT INTO demand_plan_linha (demand_plan_id,location_id, produto_id,data_referencia,quantidade_baseline) VALUES ('1','STO03','FG101','2020-1-31','15');</v>
      </c>
    </row>
    <row r="28" spans="1:6" x14ac:dyDescent="0.25">
      <c r="A28">
        <v>1</v>
      </c>
      <c r="B28" t="s">
        <v>30</v>
      </c>
      <c r="C28" t="s">
        <v>43</v>
      </c>
      <c r="D28" s="1">
        <v>43861</v>
      </c>
      <c r="E28">
        <v>15</v>
      </c>
      <c r="F28" t="str">
        <f t="shared" si="0"/>
        <v>INSERT INTO demand_plan_linha (demand_plan_id,location_id, produto_id,data_referencia,quantidade_baseline) VALUES ('1','STO03','FG102','2020-1-31','15');</v>
      </c>
    </row>
    <row r="29" spans="1:6" x14ac:dyDescent="0.25">
      <c r="A29">
        <v>1</v>
      </c>
      <c r="B29" t="s">
        <v>30</v>
      </c>
      <c r="C29" t="s">
        <v>44</v>
      </c>
      <c r="D29" s="1">
        <v>43861</v>
      </c>
      <c r="E29">
        <v>15</v>
      </c>
      <c r="F29" t="str">
        <f t="shared" si="0"/>
        <v>INSERT INTO demand_plan_linha (demand_plan_id,location_id, produto_id,data_referencia,quantidade_baseline) VALUES ('1','STO03','FG103','2020-1-31','15');</v>
      </c>
    </row>
    <row r="30" spans="1:6" x14ac:dyDescent="0.25">
      <c r="A30">
        <v>1</v>
      </c>
      <c r="B30" t="s">
        <v>30</v>
      </c>
      <c r="C30" t="s">
        <v>6</v>
      </c>
      <c r="D30" s="1">
        <v>43890</v>
      </c>
      <c r="E30">
        <v>15</v>
      </c>
      <c r="F30" t="str">
        <f t="shared" si="0"/>
        <v>INSERT INTO demand_plan_linha (demand_plan_id,location_id, produto_id,data_referencia,quantidade_baseline) VALUES ('1','STO03','FG100','2020-2-29','15');</v>
      </c>
    </row>
    <row r="31" spans="1:6" x14ac:dyDescent="0.25">
      <c r="A31">
        <v>1</v>
      </c>
      <c r="B31" t="s">
        <v>30</v>
      </c>
      <c r="C31" t="s">
        <v>7</v>
      </c>
      <c r="D31" s="1">
        <v>43890</v>
      </c>
      <c r="E31">
        <v>15</v>
      </c>
      <c r="F31" t="str">
        <f t="shared" si="0"/>
        <v>INSERT INTO demand_plan_linha (demand_plan_id,location_id, produto_id,data_referencia,quantidade_baseline) VALUES ('1','STO03','FG101','2020-2-29','15');</v>
      </c>
    </row>
    <row r="32" spans="1:6" x14ac:dyDescent="0.25">
      <c r="A32">
        <v>1</v>
      </c>
      <c r="B32" t="s">
        <v>30</v>
      </c>
      <c r="C32" t="s">
        <v>43</v>
      </c>
      <c r="D32" s="1">
        <v>43890</v>
      </c>
      <c r="E32">
        <v>15</v>
      </c>
      <c r="F32" t="str">
        <f t="shared" si="0"/>
        <v>INSERT INTO demand_plan_linha (demand_plan_id,location_id, produto_id,data_referencia,quantidade_baseline) VALUES ('1','STO03','FG102','2020-2-29','15');</v>
      </c>
    </row>
    <row r="33" spans="1:6" x14ac:dyDescent="0.25">
      <c r="A33">
        <v>1</v>
      </c>
      <c r="B33" t="s">
        <v>30</v>
      </c>
      <c r="C33" t="s">
        <v>44</v>
      </c>
      <c r="D33" s="1">
        <v>43890</v>
      </c>
      <c r="E33">
        <v>15</v>
      </c>
      <c r="F33" t="str">
        <f t="shared" si="0"/>
        <v>INSERT INTO demand_plan_linha (demand_plan_id,location_id, produto_id,data_referencia,quantidade_baseline) VALUES ('1','STO03','FG103','2020-2-29','15');</v>
      </c>
    </row>
    <row r="34" spans="1:6" x14ac:dyDescent="0.25">
      <c r="A34">
        <v>1</v>
      </c>
      <c r="B34" t="s">
        <v>30</v>
      </c>
      <c r="C34" t="s">
        <v>6</v>
      </c>
      <c r="D34" s="1">
        <v>43921</v>
      </c>
      <c r="E34">
        <v>15</v>
      </c>
      <c r="F34" t="str">
        <f t="shared" si="0"/>
        <v>INSERT INTO demand_plan_linha (demand_plan_id,location_id, produto_id,data_referencia,quantidade_baseline) VALUES ('1','STO03','FG100','2020-3-31','15');</v>
      </c>
    </row>
    <row r="35" spans="1:6" x14ac:dyDescent="0.25">
      <c r="A35">
        <v>1</v>
      </c>
      <c r="B35" t="s">
        <v>30</v>
      </c>
      <c r="C35" t="s">
        <v>7</v>
      </c>
      <c r="D35" s="1">
        <v>43921</v>
      </c>
      <c r="E35">
        <v>15</v>
      </c>
      <c r="F35" t="str">
        <f t="shared" si="0"/>
        <v>INSERT INTO demand_plan_linha (demand_plan_id,location_id, produto_id,data_referencia,quantidade_baseline) VALUES ('1','STO03','FG101','2020-3-31','15');</v>
      </c>
    </row>
    <row r="36" spans="1:6" x14ac:dyDescent="0.25">
      <c r="A36">
        <v>1</v>
      </c>
      <c r="B36" t="s">
        <v>30</v>
      </c>
      <c r="C36" t="s">
        <v>43</v>
      </c>
      <c r="D36" s="1">
        <v>43921</v>
      </c>
      <c r="E36">
        <v>15</v>
      </c>
      <c r="F36" t="str">
        <f t="shared" si="0"/>
        <v>INSERT INTO demand_plan_linha (demand_plan_id,location_id, produto_id,data_referencia,quantidade_baseline) VALUES ('1','STO03','FG102','2020-3-31','15');</v>
      </c>
    </row>
    <row r="37" spans="1:6" x14ac:dyDescent="0.25">
      <c r="A37">
        <v>1</v>
      </c>
      <c r="B37" t="s">
        <v>30</v>
      </c>
      <c r="C37" t="s">
        <v>44</v>
      </c>
      <c r="D37" s="1">
        <v>43921</v>
      </c>
      <c r="E37">
        <v>15</v>
      </c>
      <c r="F37" t="str">
        <f t="shared" si="0"/>
        <v>INSERT INTO demand_plan_linha (demand_plan_id,location_id, produto_id,data_referencia,quantidade_baseline) VALUES ('1','STO03','FG103','2020-3-31','15');</v>
      </c>
    </row>
    <row r="38" spans="1:6" x14ac:dyDescent="0.25">
      <c r="A38">
        <v>1</v>
      </c>
      <c r="B38" t="s">
        <v>31</v>
      </c>
      <c r="C38" t="s">
        <v>6</v>
      </c>
      <c r="D38" s="1">
        <v>43861</v>
      </c>
      <c r="E38">
        <v>20</v>
      </c>
      <c r="F38" t="str">
        <f t="shared" si="0"/>
        <v>INSERT INTO demand_plan_linha (demand_plan_id,location_id, produto_id,data_referencia,quantidade_baseline) VALUES ('1','STO04','FG100','2020-1-31','20');</v>
      </c>
    </row>
    <row r="39" spans="1:6" x14ac:dyDescent="0.25">
      <c r="A39">
        <v>1</v>
      </c>
      <c r="B39" t="s">
        <v>31</v>
      </c>
      <c r="C39" t="s">
        <v>7</v>
      </c>
      <c r="D39" s="1">
        <v>43861</v>
      </c>
      <c r="E39">
        <v>20</v>
      </c>
      <c r="F39" t="str">
        <f t="shared" si="0"/>
        <v>INSERT INTO demand_plan_linha (demand_plan_id,location_id, produto_id,data_referencia,quantidade_baseline) VALUES ('1','STO04','FG101','2020-1-31','20');</v>
      </c>
    </row>
    <row r="40" spans="1:6" x14ac:dyDescent="0.25">
      <c r="A40">
        <v>1</v>
      </c>
      <c r="B40" t="s">
        <v>31</v>
      </c>
      <c r="C40" t="s">
        <v>43</v>
      </c>
      <c r="D40" s="1">
        <v>43861</v>
      </c>
      <c r="E40">
        <v>20</v>
      </c>
      <c r="F40" t="str">
        <f t="shared" si="0"/>
        <v>INSERT INTO demand_plan_linha (demand_plan_id,location_id, produto_id,data_referencia,quantidade_baseline) VALUES ('1','STO04','FG102','2020-1-31','20');</v>
      </c>
    </row>
    <row r="41" spans="1:6" x14ac:dyDescent="0.25">
      <c r="A41">
        <v>1</v>
      </c>
      <c r="B41" t="s">
        <v>31</v>
      </c>
      <c r="C41" t="s">
        <v>44</v>
      </c>
      <c r="D41" s="1">
        <v>43861</v>
      </c>
      <c r="E41">
        <v>20</v>
      </c>
      <c r="F41" t="str">
        <f t="shared" si="0"/>
        <v>INSERT INTO demand_plan_linha (demand_plan_id,location_id, produto_id,data_referencia,quantidade_baseline) VALUES ('1','STO04','FG103','2020-1-31','20');</v>
      </c>
    </row>
    <row r="42" spans="1:6" x14ac:dyDescent="0.25">
      <c r="A42">
        <v>1</v>
      </c>
      <c r="B42" t="s">
        <v>31</v>
      </c>
      <c r="C42" t="s">
        <v>6</v>
      </c>
      <c r="D42" s="1">
        <v>43890</v>
      </c>
      <c r="E42">
        <v>20</v>
      </c>
      <c r="F42" t="str">
        <f t="shared" si="0"/>
        <v>INSERT INTO demand_plan_linha (demand_plan_id,location_id, produto_id,data_referencia,quantidade_baseline) VALUES ('1','STO04','FG100','2020-2-29','20');</v>
      </c>
    </row>
    <row r="43" spans="1:6" x14ac:dyDescent="0.25">
      <c r="A43">
        <v>1</v>
      </c>
      <c r="B43" t="s">
        <v>31</v>
      </c>
      <c r="C43" t="s">
        <v>7</v>
      </c>
      <c r="D43" s="1">
        <v>43890</v>
      </c>
      <c r="E43">
        <v>20</v>
      </c>
      <c r="F43" t="str">
        <f t="shared" si="0"/>
        <v>INSERT INTO demand_plan_linha (demand_plan_id,location_id, produto_id,data_referencia,quantidade_baseline) VALUES ('1','STO04','FG101','2020-2-29','20');</v>
      </c>
    </row>
    <row r="44" spans="1:6" x14ac:dyDescent="0.25">
      <c r="A44">
        <v>1</v>
      </c>
      <c r="B44" t="s">
        <v>31</v>
      </c>
      <c r="C44" t="s">
        <v>43</v>
      </c>
      <c r="D44" s="1">
        <v>43890</v>
      </c>
      <c r="E44">
        <v>20</v>
      </c>
      <c r="F44" t="str">
        <f t="shared" si="0"/>
        <v>INSERT INTO demand_plan_linha (demand_plan_id,location_id, produto_id,data_referencia,quantidade_baseline) VALUES ('1','STO04','FG102','2020-2-29','20');</v>
      </c>
    </row>
    <row r="45" spans="1:6" x14ac:dyDescent="0.25">
      <c r="A45">
        <v>1</v>
      </c>
      <c r="B45" t="s">
        <v>31</v>
      </c>
      <c r="C45" t="s">
        <v>44</v>
      </c>
      <c r="D45" s="1">
        <v>43890</v>
      </c>
      <c r="E45">
        <v>20</v>
      </c>
      <c r="F45" t="str">
        <f t="shared" si="0"/>
        <v>INSERT INTO demand_plan_linha (demand_plan_id,location_id, produto_id,data_referencia,quantidade_baseline) VALUES ('1','STO04','FG103','2020-2-29','20');</v>
      </c>
    </row>
    <row r="46" spans="1:6" x14ac:dyDescent="0.25">
      <c r="A46">
        <v>1</v>
      </c>
      <c r="B46" t="s">
        <v>31</v>
      </c>
      <c r="C46" t="s">
        <v>6</v>
      </c>
      <c r="D46" s="1">
        <v>43921</v>
      </c>
      <c r="E46">
        <v>20</v>
      </c>
      <c r="F46" t="str">
        <f t="shared" si="0"/>
        <v>INSERT INTO demand_plan_linha (demand_plan_id,location_id, produto_id,data_referencia,quantidade_baseline) VALUES ('1','STO04','FG100','2020-3-31','20');</v>
      </c>
    </row>
    <row r="47" spans="1:6" x14ac:dyDescent="0.25">
      <c r="A47">
        <v>1</v>
      </c>
      <c r="B47" t="s">
        <v>31</v>
      </c>
      <c r="C47" t="s">
        <v>7</v>
      </c>
      <c r="D47" s="1">
        <v>43921</v>
      </c>
      <c r="E47">
        <v>20</v>
      </c>
      <c r="F47" t="str">
        <f t="shared" si="0"/>
        <v>INSERT INTO demand_plan_linha (demand_plan_id,location_id, produto_id,data_referencia,quantidade_baseline) VALUES ('1','STO04','FG101','2020-3-31','20');</v>
      </c>
    </row>
    <row r="48" spans="1:6" x14ac:dyDescent="0.25">
      <c r="A48">
        <v>1</v>
      </c>
      <c r="B48" t="s">
        <v>31</v>
      </c>
      <c r="C48" t="s">
        <v>43</v>
      </c>
      <c r="D48" s="1">
        <v>43921</v>
      </c>
      <c r="E48">
        <v>20</v>
      </c>
      <c r="F48" t="str">
        <f t="shared" si="0"/>
        <v>INSERT INTO demand_plan_linha (demand_plan_id,location_id, produto_id,data_referencia,quantidade_baseline) VALUES ('1','STO04','FG102','2020-3-31','20');</v>
      </c>
    </row>
    <row r="49" spans="1:6" x14ac:dyDescent="0.25">
      <c r="A49">
        <v>1</v>
      </c>
      <c r="B49" t="s">
        <v>31</v>
      </c>
      <c r="C49" t="s">
        <v>44</v>
      </c>
      <c r="D49" s="1">
        <v>43921</v>
      </c>
      <c r="E49">
        <v>20</v>
      </c>
      <c r="F49" t="str">
        <f t="shared" si="0"/>
        <v>INSERT INTO demand_plan_linha (demand_plan_id,location_id, produto_id,data_referencia,quantidade_baseline) VALUES ('1','STO04','FG103','2020-3-31','20');</v>
      </c>
    </row>
  </sheetData>
  <autoFilter ref="A1:F49" xr:uid="{EC43D338-4D9E-4BAA-992F-95340A92CC5E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F470-313F-4B3B-A7CC-868386CCF6DB}">
  <dimension ref="A1:H23"/>
  <sheetViews>
    <sheetView topLeftCell="A3" workbookViewId="0">
      <selection activeCell="F2" sqref="F2:F23"/>
    </sheetView>
  </sheetViews>
  <sheetFormatPr defaultRowHeight="15" x14ac:dyDescent="0.25"/>
  <cols>
    <col min="1" max="2" width="10.85546875" bestFit="1" customWidth="1"/>
    <col min="3" max="3" width="15.140625" bestFit="1" customWidth="1"/>
    <col min="4" max="4" width="11.140625" bestFit="1" customWidth="1"/>
    <col min="6" max="6" width="110.140625" bestFit="1" customWidth="1"/>
  </cols>
  <sheetData>
    <row r="1" spans="1:8" x14ac:dyDescent="0.25">
      <c r="A1" t="s">
        <v>49</v>
      </c>
      <c r="B1" t="s">
        <v>50</v>
      </c>
      <c r="C1" t="s">
        <v>51</v>
      </c>
      <c r="D1" t="s">
        <v>53</v>
      </c>
      <c r="F1" t="s">
        <v>121</v>
      </c>
      <c r="H1" t="s">
        <v>36</v>
      </c>
    </row>
    <row r="2" spans="1:8" x14ac:dyDescent="0.25">
      <c r="A2" t="s">
        <v>28</v>
      </c>
      <c r="B2" t="s">
        <v>6</v>
      </c>
      <c r="C2" s="1">
        <v>43830</v>
      </c>
      <c r="D2">
        <v>3</v>
      </c>
      <c r="F2" t="str">
        <f>"INSERT INTO estoque ("&amp;A$1&amp;","&amp;B$1&amp;", "&amp;C$1&amp;","&amp;D$1&amp;") VALUES ('"&amp;A2&amp;"','"&amp;B2&amp;"','"&amp;YEAR(C2)&amp;"-"&amp;MONTH(C2)&amp;"-"&amp;DAY(C2)&amp;"','"&amp;D2&amp;"');"</f>
        <v>INSERT INTO estoque (location_id,produto_id, data_referencia,quantidade) VALUES ('STO01','FG100','2019-12-31','3');</v>
      </c>
      <c r="H2" t="s">
        <v>37</v>
      </c>
    </row>
    <row r="3" spans="1:8" x14ac:dyDescent="0.25">
      <c r="A3" t="s">
        <v>28</v>
      </c>
      <c r="B3" t="s">
        <v>7</v>
      </c>
      <c r="C3" s="1">
        <v>43830</v>
      </c>
      <c r="D3">
        <v>3</v>
      </c>
      <c r="F3" t="str">
        <f t="shared" ref="F3:F23" si="0">"INSERT INTO estoque ("&amp;A$1&amp;","&amp;B$1&amp;", "&amp;C$1&amp;","&amp;D$1&amp;") VALUES ('"&amp;A3&amp;"','"&amp;B3&amp;"','"&amp;YEAR(C3)&amp;"-"&amp;MONTH(C3)&amp;"-"&amp;DAY(C3)&amp;"','"&amp;D3&amp;"');"</f>
        <v>INSERT INTO estoque (location_id,produto_id, data_referencia,quantidade) VALUES ('STO01','FG101','2019-12-31','3');</v>
      </c>
      <c r="H3" t="s">
        <v>38</v>
      </c>
    </row>
    <row r="4" spans="1:8" x14ac:dyDescent="0.25">
      <c r="A4" t="s">
        <v>28</v>
      </c>
      <c r="B4" t="s">
        <v>43</v>
      </c>
      <c r="C4" s="1">
        <v>43830</v>
      </c>
      <c r="D4">
        <v>3</v>
      </c>
      <c r="F4" t="str">
        <f t="shared" si="0"/>
        <v>INSERT INTO estoque (location_id,produto_id, data_referencia,quantidade) VALUES ('STO01','FG102','2019-12-31','3');</v>
      </c>
      <c r="H4" t="s">
        <v>52</v>
      </c>
    </row>
    <row r="5" spans="1:8" x14ac:dyDescent="0.25">
      <c r="A5" t="s">
        <v>28</v>
      </c>
      <c r="B5" t="s">
        <v>44</v>
      </c>
      <c r="C5" s="1">
        <v>43830</v>
      </c>
      <c r="D5">
        <v>3</v>
      </c>
      <c r="F5" t="str">
        <f t="shared" si="0"/>
        <v>INSERT INTO estoque (location_id,produto_id, data_referencia,quantidade) VALUES ('STO01','FG103','2019-12-31','3');</v>
      </c>
      <c r="H5" t="s">
        <v>42</v>
      </c>
    </row>
    <row r="6" spans="1:8" x14ac:dyDescent="0.25">
      <c r="A6" t="s">
        <v>29</v>
      </c>
      <c r="B6" t="s">
        <v>6</v>
      </c>
      <c r="C6" s="1">
        <v>43830</v>
      </c>
      <c r="D6">
        <v>7</v>
      </c>
      <c r="F6" t="str">
        <f t="shared" si="0"/>
        <v>INSERT INTO estoque (location_id,produto_id, data_referencia,quantidade) VALUES ('STO02','FG100','2019-12-31','7');</v>
      </c>
      <c r="H6" t="s">
        <v>71</v>
      </c>
    </row>
    <row r="7" spans="1:8" x14ac:dyDescent="0.25">
      <c r="A7" t="s">
        <v>29</v>
      </c>
      <c r="B7" t="s">
        <v>7</v>
      </c>
      <c r="C7" s="1">
        <v>43830</v>
      </c>
      <c r="D7">
        <v>7</v>
      </c>
      <c r="F7" t="str">
        <f t="shared" si="0"/>
        <v>INSERT INTO estoque (location_id,produto_id, data_referencia,quantidade) VALUES ('STO02','FG101','2019-12-31','7');</v>
      </c>
    </row>
    <row r="8" spans="1:8" x14ac:dyDescent="0.25">
      <c r="A8" t="s">
        <v>29</v>
      </c>
      <c r="B8" t="s">
        <v>43</v>
      </c>
      <c r="C8" s="1">
        <v>43830</v>
      </c>
      <c r="D8">
        <v>7</v>
      </c>
      <c r="F8" t="str">
        <f t="shared" si="0"/>
        <v>INSERT INTO estoque (location_id,produto_id, data_referencia,quantidade) VALUES ('STO02','FG102','2019-12-31','7');</v>
      </c>
    </row>
    <row r="9" spans="1:8" x14ac:dyDescent="0.25">
      <c r="A9" t="s">
        <v>29</v>
      </c>
      <c r="B9" t="s">
        <v>44</v>
      </c>
      <c r="C9" s="1">
        <v>43830</v>
      </c>
      <c r="D9">
        <v>7</v>
      </c>
      <c r="F9" t="str">
        <f t="shared" si="0"/>
        <v>INSERT INTO estoque (location_id,produto_id, data_referencia,quantidade) VALUES ('STO02','FG103','2019-12-31','7');</v>
      </c>
    </row>
    <row r="10" spans="1:8" x14ac:dyDescent="0.25">
      <c r="A10" t="s">
        <v>30</v>
      </c>
      <c r="B10" t="s">
        <v>6</v>
      </c>
      <c r="C10" s="1">
        <v>43830</v>
      </c>
      <c r="D10">
        <v>9</v>
      </c>
      <c r="F10" t="str">
        <f t="shared" si="0"/>
        <v>INSERT INTO estoque (location_id,produto_id, data_referencia,quantidade) VALUES ('STO03','FG100','2019-12-31','9');</v>
      </c>
    </row>
    <row r="11" spans="1:8" x14ac:dyDescent="0.25">
      <c r="A11" t="s">
        <v>30</v>
      </c>
      <c r="B11" t="s">
        <v>7</v>
      </c>
      <c r="C11" s="1">
        <v>43830</v>
      </c>
      <c r="D11">
        <v>9</v>
      </c>
      <c r="F11" t="str">
        <f t="shared" si="0"/>
        <v>INSERT INTO estoque (location_id,produto_id, data_referencia,quantidade) VALUES ('STO03','FG101','2019-12-31','9');</v>
      </c>
    </row>
    <row r="12" spans="1:8" x14ac:dyDescent="0.25">
      <c r="A12" t="s">
        <v>30</v>
      </c>
      <c r="B12" t="s">
        <v>43</v>
      </c>
      <c r="C12" s="1">
        <v>43830</v>
      </c>
      <c r="D12">
        <v>9</v>
      </c>
      <c r="F12" t="str">
        <f t="shared" si="0"/>
        <v>INSERT INTO estoque (location_id,produto_id, data_referencia,quantidade) VALUES ('STO03','FG102','2019-12-31','9');</v>
      </c>
    </row>
    <row r="13" spans="1:8" x14ac:dyDescent="0.25">
      <c r="A13" t="s">
        <v>30</v>
      </c>
      <c r="B13" t="s">
        <v>44</v>
      </c>
      <c r="C13" s="1">
        <v>43830</v>
      </c>
      <c r="D13">
        <v>9</v>
      </c>
      <c r="F13" t="str">
        <f t="shared" si="0"/>
        <v>INSERT INTO estoque (location_id,produto_id, data_referencia,quantidade) VALUES ('STO03','FG103','2019-12-31','9');</v>
      </c>
    </row>
    <row r="14" spans="1:8" x14ac:dyDescent="0.25">
      <c r="A14" t="s">
        <v>31</v>
      </c>
      <c r="B14" t="s">
        <v>6</v>
      </c>
      <c r="C14" s="1">
        <v>43830</v>
      </c>
      <c r="D14">
        <v>12</v>
      </c>
      <c r="F14" t="str">
        <f t="shared" si="0"/>
        <v>INSERT INTO estoque (location_id,produto_id, data_referencia,quantidade) VALUES ('STO04','FG100','2019-12-31','12');</v>
      </c>
    </row>
    <row r="15" spans="1:8" x14ac:dyDescent="0.25">
      <c r="A15" t="s">
        <v>31</v>
      </c>
      <c r="B15" t="s">
        <v>7</v>
      </c>
      <c r="C15" s="1">
        <v>43830</v>
      </c>
      <c r="D15">
        <v>12</v>
      </c>
      <c r="F15" t="str">
        <f t="shared" si="0"/>
        <v>INSERT INTO estoque (location_id,produto_id, data_referencia,quantidade) VALUES ('STO04','FG101','2019-12-31','12');</v>
      </c>
    </row>
    <row r="16" spans="1:8" x14ac:dyDescent="0.25">
      <c r="A16" t="s">
        <v>31</v>
      </c>
      <c r="B16" t="s">
        <v>43</v>
      </c>
      <c r="C16" s="1">
        <v>43830</v>
      </c>
      <c r="D16">
        <v>12</v>
      </c>
      <c r="F16" t="str">
        <f t="shared" si="0"/>
        <v>INSERT INTO estoque (location_id,produto_id, data_referencia,quantidade) VALUES ('STO04','FG102','2019-12-31','12');</v>
      </c>
    </row>
    <row r="17" spans="1:6" x14ac:dyDescent="0.25">
      <c r="A17" t="s">
        <v>31</v>
      </c>
      <c r="B17" t="s">
        <v>44</v>
      </c>
      <c r="C17" s="1">
        <v>43830</v>
      </c>
      <c r="D17">
        <v>12</v>
      </c>
      <c r="F17" t="str">
        <f t="shared" si="0"/>
        <v>INSERT INTO estoque (location_id,produto_id, data_referencia,quantidade) VALUES ('STO04','FG103','2019-12-31','12');</v>
      </c>
    </row>
    <row r="18" spans="1:6" x14ac:dyDescent="0.25">
      <c r="A18" t="s">
        <v>27</v>
      </c>
      <c r="B18" t="s">
        <v>6</v>
      </c>
      <c r="C18" s="1">
        <v>43830</v>
      </c>
      <c r="D18">
        <v>4</v>
      </c>
      <c r="F18" t="str">
        <f t="shared" si="0"/>
        <v>INSERT INTO estoque (location_id,produto_id, data_referencia,quantidade) VALUES ('DC01','FG100','2019-12-31','4');</v>
      </c>
    </row>
    <row r="19" spans="1:6" x14ac:dyDescent="0.25">
      <c r="A19" t="s">
        <v>27</v>
      </c>
      <c r="B19" t="s">
        <v>7</v>
      </c>
      <c r="C19" s="1">
        <v>43830</v>
      </c>
      <c r="D19">
        <v>4</v>
      </c>
      <c r="F19" t="str">
        <f t="shared" si="0"/>
        <v>INSERT INTO estoque (location_id,produto_id, data_referencia,quantidade) VALUES ('DC01','FG101','2019-12-31','4');</v>
      </c>
    </row>
    <row r="20" spans="1:6" x14ac:dyDescent="0.25">
      <c r="A20" t="s">
        <v>32</v>
      </c>
      <c r="B20" t="s">
        <v>43</v>
      </c>
      <c r="C20" s="1">
        <v>43830</v>
      </c>
      <c r="D20">
        <v>5</v>
      </c>
      <c r="F20" t="str">
        <f t="shared" si="0"/>
        <v>INSERT INTO estoque (location_id,produto_id, data_referencia,quantidade) VALUES ('DC02','FG102','2019-12-31','5');</v>
      </c>
    </row>
    <row r="21" spans="1:6" x14ac:dyDescent="0.25">
      <c r="A21" t="s">
        <v>32</v>
      </c>
      <c r="B21" t="s">
        <v>44</v>
      </c>
      <c r="C21" s="1">
        <v>43830</v>
      </c>
      <c r="D21">
        <v>5</v>
      </c>
      <c r="F21" t="str">
        <f t="shared" si="0"/>
        <v>INSERT INTO estoque (location_id,produto_id, data_referencia,quantidade) VALUES ('DC02','FG103','2019-12-31','5');</v>
      </c>
    </row>
    <row r="22" spans="1:6" x14ac:dyDescent="0.25">
      <c r="A22" t="s">
        <v>39</v>
      </c>
      <c r="B22" t="s">
        <v>6</v>
      </c>
      <c r="C22" s="1">
        <v>43830</v>
      </c>
      <c r="D22">
        <v>6</v>
      </c>
      <c r="F22" t="str">
        <f t="shared" si="0"/>
        <v>INSERT INTO estoque (location_id,produto_id, data_referencia,quantidade) VALUES ('DC03','FG100','2019-12-31','6');</v>
      </c>
    </row>
    <row r="23" spans="1:6" x14ac:dyDescent="0.25">
      <c r="A23" t="s">
        <v>39</v>
      </c>
      <c r="B23" t="s">
        <v>7</v>
      </c>
      <c r="C23" s="1">
        <v>43830</v>
      </c>
      <c r="D23">
        <v>6</v>
      </c>
      <c r="F23" t="str">
        <f t="shared" si="0"/>
        <v>INSERT INTO estoque (location_id,produto_id, data_referencia,quantidade) VALUES ('DC03','FG101','2019-12-31','6');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B87C-054C-4E03-9F8B-BE19DAEACB35}">
  <dimension ref="A1:H9"/>
  <sheetViews>
    <sheetView tabSelected="1" workbookViewId="0">
      <selection activeCell="B9" sqref="B9"/>
    </sheetView>
  </sheetViews>
  <sheetFormatPr defaultRowHeight="15" x14ac:dyDescent="0.25"/>
  <cols>
    <col min="2" max="2" width="18.42578125" bestFit="1" customWidth="1"/>
  </cols>
  <sheetData>
    <row r="1" spans="1:8" x14ac:dyDescent="0.25">
      <c r="A1" t="s">
        <v>0</v>
      </c>
      <c r="B1" t="s">
        <v>60</v>
      </c>
      <c r="C1" t="s">
        <v>1</v>
      </c>
      <c r="E1" t="s">
        <v>121</v>
      </c>
    </row>
    <row r="2" spans="1:8" x14ac:dyDescent="0.25">
      <c r="A2" t="s">
        <v>81</v>
      </c>
      <c r="B2" t="s">
        <v>6</v>
      </c>
      <c r="C2" t="s">
        <v>82</v>
      </c>
      <c r="E2" t="str">
        <f>"INSERT INTO lista_tecnica ("&amp;A$1&amp;", "&amp;B$1&amp;","&amp;C$1&amp;") VALUES ('"&amp;A2&amp;"','"&amp;B2&amp;"','"&amp;C2&amp;"');"</f>
        <v>INSERT INTO lista_tecnica (id, material_output_id,descricao) VALUES ('LT100','FG100','LT FG100');</v>
      </c>
      <c r="H2" t="s">
        <v>71</v>
      </c>
    </row>
    <row r="3" spans="1:8" x14ac:dyDescent="0.25">
      <c r="A3" t="s">
        <v>78</v>
      </c>
      <c r="B3" t="s">
        <v>7</v>
      </c>
      <c r="C3" t="s">
        <v>83</v>
      </c>
      <c r="E3" t="str">
        <f t="shared" ref="E3:E9" si="0">"INSERT INTO lista_tecnica ("&amp;A$1&amp;", "&amp;B$1&amp;","&amp;C$1&amp;") VALUES ('"&amp;A3&amp;"','"&amp;B3&amp;"','"&amp;C3&amp;"');"</f>
        <v>INSERT INTO lista_tecnica (id, material_output_id,descricao) VALUES ('LT101','FG101','LT FG101');</v>
      </c>
    </row>
    <row r="4" spans="1:8" x14ac:dyDescent="0.25">
      <c r="A4" t="s">
        <v>79</v>
      </c>
      <c r="B4" t="s">
        <v>43</v>
      </c>
      <c r="C4" t="s">
        <v>84</v>
      </c>
      <c r="E4" t="str">
        <f t="shared" si="0"/>
        <v>INSERT INTO lista_tecnica (id, material_output_id,descricao) VALUES ('LT102','FG102','LT FG102');</v>
      </c>
    </row>
    <row r="5" spans="1:8" x14ac:dyDescent="0.25">
      <c r="A5" t="s">
        <v>80</v>
      </c>
      <c r="B5" t="s">
        <v>44</v>
      </c>
      <c r="C5" t="s">
        <v>85</v>
      </c>
      <c r="E5" t="str">
        <f t="shared" si="0"/>
        <v>INSERT INTO lista_tecnica (id, material_output_id,descricao) VALUES ('LT103','FG103','LT FG103');</v>
      </c>
    </row>
    <row r="6" spans="1:8" x14ac:dyDescent="0.25">
      <c r="A6" t="s">
        <v>63</v>
      </c>
      <c r="B6" t="s">
        <v>2</v>
      </c>
      <c r="C6" t="s">
        <v>65</v>
      </c>
      <c r="E6" t="str">
        <f t="shared" si="0"/>
        <v>INSERT INTO lista_tecnica (id, material_output_id,descricao) VALUES ('LT200','WP200','LT WP200');</v>
      </c>
    </row>
    <row r="7" spans="1:8" x14ac:dyDescent="0.25">
      <c r="A7" t="s">
        <v>64</v>
      </c>
      <c r="B7" t="s">
        <v>3</v>
      </c>
      <c r="C7" t="s">
        <v>66</v>
      </c>
      <c r="E7" t="str">
        <f t="shared" si="0"/>
        <v>INSERT INTO lista_tecnica (id, material_output_id,descricao) VALUES ('LT201','WP201','LT WP201');</v>
      </c>
    </row>
    <row r="8" spans="1:8" x14ac:dyDescent="0.25">
      <c r="A8" t="s">
        <v>74</v>
      </c>
      <c r="B8" t="s">
        <v>72</v>
      </c>
      <c r="C8" t="s">
        <v>75</v>
      </c>
      <c r="E8" t="str">
        <f t="shared" si="0"/>
        <v>INSERT INTO lista_tecnica (id, material_output_id,descricao) VALUES ('LT202','WP202','LT WP202');</v>
      </c>
    </row>
    <row r="9" spans="1:8" x14ac:dyDescent="0.25">
      <c r="A9" t="s">
        <v>76</v>
      </c>
      <c r="B9" t="s">
        <v>70</v>
      </c>
      <c r="C9" t="s">
        <v>77</v>
      </c>
      <c r="E9" t="str">
        <f t="shared" si="0"/>
        <v>INSERT INTO lista_tecnica (id, material_output_id,descricao) VALUES ('LT303','RM303','LT RM303');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061B-92F5-43B8-94F6-10DE3A1690B5}">
  <dimension ref="A1:H10"/>
  <sheetViews>
    <sheetView workbookViewId="0">
      <selection activeCell="B13" sqref="B13"/>
    </sheetView>
  </sheetViews>
  <sheetFormatPr defaultRowHeight="15" x14ac:dyDescent="0.25"/>
  <cols>
    <col min="1" max="1" width="14.85546875" bestFit="1" customWidth="1"/>
    <col min="2" max="2" width="23.85546875" bestFit="1" customWidth="1"/>
    <col min="3" max="3" width="11.140625" bestFit="1" customWidth="1"/>
  </cols>
  <sheetData>
    <row r="1" spans="1:8" x14ac:dyDescent="0.25">
      <c r="A1" t="s">
        <v>61</v>
      </c>
      <c r="B1" t="s">
        <v>62</v>
      </c>
      <c r="C1" t="s">
        <v>53</v>
      </c>
      <c r="E1" t="s">
        <v>121</v>
      </c>
    </row>
    <row r="2" spans="1:8" x14ac:dyDescent="0.25">
      <c r="A2" t="s">
        <v>81</v>
      </c>
      <c r="B2" t="s">
        <v>2</v>
      </c>
      <c r="C2">
        <v>2</v>
      </c>
      <c r="E2" t="str">
        <f>"INSERT INTO lista_tecnica_componente ("&amp;A$1&amp;", "&amp;B$1&amp;","&amp;C$1&amp;") VALUES ('"&amp;A2&amp;"','"&amp;B2&amp;"','"&amp;C2&amp;"');"</f>
        <v>INSERT INTO lista_tecnica_componente (lista_tecnica_id, material_componente_id,quantidade) VALUES ('LT100','WP200','2');</v>
      </c>
      <c r="H2" t="s">
        <v>71</v>
      </c>
    </row>
    <row r="3" spans="1:8" x14ac:dyDescent="0.25">
      <c r="A3" t="s">
        <v>78</v>
      </c>
      <c r="B3" t="s">
        <v>2</v>
      </c>
      <c r="C3">
        <v>2</v>
      </c>
      <c r="E3" t="str">
        <f t="shared" ref="E3:E10" si="0">"INSERT INTO lista_tecnica_componente ("&amp;A$1&amp;", "&amp;B$1&amp;","&amp;C$1&amp;") VALUES ('"&amp;A3&amp;"','"&amp;B3&amp;"','"&amp;C3&amp;"');"</f>
        <v>INSERT INTO lista_tecnica_componente (lista_tecnica_id, material_componente_id,quantidade) VALUES ('LT101','WP200','2');</v>
      </c>
    </row>
    <row r="4" spans="1:8" x14ac:dyDescent="0.25">
      <c r="A4" t="s">
        <v>79</v>
      </c>
      <c r="B4" t="s">
        <v>3</v>
      </c>
      <c r="C4">
        <v>3</v>
      </c>
      <c r="E4" t="str">
        <f t="shared" si="0"/>
        <v>INSERT INTO lista_tecnica_componente (lista_tecnica_id, material_componente_id,quantidade) VALUES ('LT102','WP201','3');</v>
      </c>
    </row>
    <row r="5" spans="1:8" x14ac:dyDescent="0.25">
      <c r="A5" t="s">
        <v>80</v>
      </c>
      <c r="B5" t="s">
        <v>72</v>
      </c>
      <c r="C5">
        <v>1.2</v>
      </c>
      <c r="E5" t="str">
        <f t="shared" si="0"/>
        <v>INSERT INTO lista_tecnica_componente (lista_tecnica_id, material_componente_id,quantidade) VALUES ('LT103','WP202','1.2');</v>
      </c>
    </row>
    <row r="6" spans="1:8" x14ac:dyDescent="0.25">
      <c r="A6" t="s">
        <v>63</v>
      </c>
      <c r="B6" t="s">
        <v>5</v>
      </c>
      <c r="C6">
        <v>1</v>
      </c>
      <c r="E6" t="str">
        <f t="shared" si="0"/>
        <v>INSERT INTO lista_tecnica_componente (lista_tecnica_id, material_componente_id,quantidade) VALUES ('LT200','RM301','1');</v>
      </c>
    </row>
    <row r="7" spans="1:8" x14ac:dyDescent="0.25">
      <c r="A7" t="s">
        <v>64</v>
      </c>
      <c r="B7" t="s">
        <v>56</v>
      </c>
      <c r="C7">
        <v>1</v>
      </c>
      <c r="E7" t="str">
        <f t="shared" si="0"/>
        <v>INSERT INTO lista_tecnica_componente (lista_tecnica_id, material_componente_id,quantidade) VALUES ('LT201','RM302','1');</v>
      </c>
    </row>
    <row r="8" spans="1:8" x14ac:dyDescent="0.25">
      <c r="A8" t="s">
        <v>74</v>
      </c>
      <c r="B8" t="s">
        <v>70</v>
      </c>
      <c r="C8">
        <v>2</v>
      </c>
      <c r="E8" t="str">
        <f t="shared" si="0"/>
        <v>INSERT INTO lista_tecnica_componente (lista_tecnica_id, material_componente_id,quantidade) VALUES ('LT202','RM303','2');</v>
      </c>
    </row>
    <row r="9" spans="1:8" x14ac:dyDescent="0.25">
      <c r="A9" t="s">
        <v>76</v>
      </c>
      <c r="B9" t="s">
        <v>56</v>
      </c>
      <c r="C9">
        <v>1</v>
      </c>
      <c r="E9" t="str">
        <f t="shared" si="0"/>
        <v>INSERT INTO lista_tecnica_componente (lista_tecnica_id, material_componente_id,quantidade) VALUES ('LT303','RM302','1');</v>
      </c>
    </row>
    <row r="10" spans="1:8" x14ac:dyDescent="0.25">
      <c r="A10" t="s">
        <v>76</v>
      </c>
      <c r="B10" t="s">
        <v>5</v>
      </c>
      <c r="C10">
        <v>0.5</v>
      </c>
      <c r="E10" t="str">
        <f t="shared" si="0"/>
        <v>INSERT INTO lista_tecnica_componente (lista_tecnica_id, material_componente_id,quantidade) VALUES ('LT303','RM301','0.5');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A5DD-0476-4547-A6BA-2A8372B4EE47}">
  <dimension ref="A1:E6"/>
  <sheetViews>
    <sheetView workbookViewId="0">
      <selection activeCell="E2" sqref="E2"/>
    </sheetView>
  </sheetViews>
  <sheetFormatPr defaultRowHeight="15" x14ac:dyDescent="0.25"/>
  <cols>
    <col min="2" max="2" width="10.85546875" bestFit="1" customWidth="1"/>
    <col min="3" max="3" width="19.85546875" bestFit="1" customWidth="1"/>
  </cols>
  <sheetData>
    <row r="1" spans="1:5" x14ac:dyDescent="0.25">
      <c r="A1" t="s">
        <v>0</v>
      </c>
      <c r="B1" t="s">
        <v>49</v>
      </c>
      <c r="C1" t="s">
        <v>1</v>
      </c>
      <c r="E1" t="s">
        <v>121</v>
      </c>
    </row>
    <row r="2" spans="1:5" x14ac:dyDescent="0.25">
      <c r="A2" t="s">
        <v>86</v>
      </c>
      <c r="B2" t="s">
        <v>90</v>
      </c>
      <c r="C2" t="s">
        <v>95</v>
      </c>
      <c r="E2" t="str">
        <f>"INSERT INTO recurso_produtivo ("&amp;A$1&amp;", "&amp;B$1&amp;","&amp;C$1&amp;") VALUES ('"&amp;A2&amp;"','"&amp;B2&amp;"','"&amp;C2&amp;"');"</f>
        <v>INSERT INTO recurso_produtivo (id, location_id,descricao) VALUES ('RP001','FAC001','Resource 01 - FAC001');</v>
      </c>
    </row>
    <row r="3" spans="1:5" x14ac:dyDescent="0.25">
      <c r="A3" t="s">
        <v>87</v>
      </c>
      <c r="B3" t="s">
        <v>90</v>
      </c>
      <c r="C3" t="s">
        <v>96</v>
      </c>
      <c r="E3" t="str">
        <f t="shared" ref="E3:E6" si="0">"INSERT INTO recurso_produtivo ("&amp;A$1&amp;", "&amp;B$1&amp;","&amp;C$1&amp;") VALUES ('"&amp;A3&amp;"','"&amp;B3&amp;"','"&amp;C3&amp;"');"</f>
        <v>INSERT INTO recurso_produtivo (id, location_id,descricao) VALUES ('RP002','FAC001','Resource 02 - FAC001');</v>
      </c>
    </row>
    <row r="4" spans="1:5" x14ac:dyDescent="0.25">
      <c r="A4" t="s">
        <v>88</v>
      </c>
      <c r="B4" t="s">
        <v>91</v>
      </c>
      <c r="C4" t="s">
        <v>99</v>
      </c>
      <c r="E4" t="str">
        <f t="shared" si="0"/>
        <v>INSERT INTO recurso_produtivo (id, location_id,descricao) VALUES ('RP003','FAC002','Resource 01 - FAC002');</v>
      </c>
    </row>
    <row r="5" spans="1:5" x14ac:dyDescent="0.25">
      <c r="A5" t="s">
        <v>89</v>
      </c>
      <c r="B5" t="s">
        <v>92</v>
      </c>
      <c r="C5" t="s">
        <v>98</v>
      </c>
      <c r="E5" t="str">
        <f t="shared" si="0"/>
        <v>INSERT INTO recurso_produtivo (id, location_id,descricao) VALUES ('RP004','FAC003','Resource 01 - FAC003');</v>
      </c>
    </row>
    <row r="6" spans="1:5" x14ac:dyDescent="0.25">
      <c r="A6" t="s">
        <v>93</v>
      </c>
      <c r="B6" t="s">
        <v>94</v>
      </c>
      <c r="C6" t="s">
        <v>97</v>
      </c>
      <c r="E6" t="str">
        <f t="shared" si="0"/>
        <v>INSERT INTO recurso_produtivo (id, location_id,descricao) VALUES ('RP005','SUP001','Resource 01 - SUP001');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37BF-7B37-4C94-8E40-C295B18F0519}">
  <dimension ref="A1:E13"/>
  <sheetViews>
    <sheetView workbookViewId="0">
      <selection activeCell="E2" sqref="E2:E13"/>
    </sheetView>
  </sheetViews>
  <sheetFormatPr defaultRowHeight="15" x14ac:dyDescent="0.25"/>
  <cols>
    <col min="2" max="2" width="24.42578125" bestFit="1" customWidth="1"/>
    <col min="3" max="3" width="10.28515625" bestFit="1" customWidth="1"/>
  </cols>
  <sheetData>
    <row r="1" spans="1:5" x14ac:dyDescent="0.25">
      <c r="A1" t="s">
        <v>0</v>
      </c>
      <c r="B1" t="s">
        <v>1</v>
      </c>
      <c r="C1" t="s">
        <v>59</v>
      </c>
      <c r="E1" t="s">
        <v>121</v>
      </c>
    </row>
    <row r="2" spans="1:5" x14ac:dyDescent="0.25">
      <c r="A2">
        <v>1</v>
      </c>
      <c r="B2" t="str">
        <f>VLOOKUP(A2,ReceitaProducaoOperacao!$B$2:$K$18,10,FALSE)</f>
        <v>FG100 - FAC01 - Recurso 1</v>
      </c>
      <c r="C2">
        <v>1</v>
      </c>
      <c r="E2" t="str">
        <f>"INSERT INTO receita_producao ("&amp;A$1&amp;", "&amp;B$1&amp;","&amp;C$1&amp;") VALUES ('"&amp;A2&amp;"','"&amp;B2&amp;"','"&amp;C2&amp;"');"</f>
        <v>INSERT INTO receita_producao (id, descricao,prioridade) VALUES ('1','FG100 - FAC01 - Recurso 1','1');</v>
      </c>
    </row>
    <row r="3" spans="1:5" x14ac:dyDescent="0.25">
      <c r="A3">
        <v>2</v>
      </c>
      <c r="B3" t="str">
        <f>VLOOKUP(A3,ReceitaProducaoOperacao!$B$2:$K$18,10,FALSE)</f>
        <v>FG100 - FAC01 - Recurso 2</v>
      </c>
      <c r="C3">
        <v>2</v>
      </c>
      <c r="E3" t="str">
        <f t="shared" ref="E3:E13" si="0">"INSERT INTO receita_producao ("&amp;A$1&amp;", "&amp;B$1&amp;","&amp;C$1&amp;") VALUES ('"&amp;A3&amp;"','"&amp;B3&amp;"','"&amp;C3&amp;"');"</f>
        <v>INSERT INTO receita_producao (id, descricao,prioridade) VALUES ('2','FG100 - FAC01 - Recurso 2','2');</v>
      </c>
    </row>
    <row r="4" spans="1:5" x14ac:dyDescent="0.25">
      <c r="A4">
        <v>3</v>
      </c>
      <c r="B4" t="str">
        <f>VLOOKUP(A4,ReceitaProducaoOperacao!$B$2:$K$18,10,FALSE)</f>
        <v>FG100 - FAC03 - Recurso 1</v>
      </c>
      <c r="C4">
        <v>1</v>
      </c>
      <c r="E4" t="str">
        <f t="shared" si="0"/>
        <v>INSERT INTO receita_producao (id, descricao,prioridade) VALUES ('3','FG100 - FAC03 - Recurso 1','1');</v>
      </c>
    </row>
    <row r="5" spans="1:5" x14ac:dyDescent="0.25">
      <c r="A5">
        <v>4</v>
      </c>
      <c r="B5" t="str">
        <f>VLOOKUP(A5,ReceitaProducaoOperacao!$B$2:$K$18,10,FALSE)</f>
        <v>FG101 - FAC01 - Recurso 1</v>
      </c>
      <c r="C5">
        <v>1</v>
      </c>
      <c r="E5" t="str">
        <f t="shared" si="0"/>
        <v>INSERT INTO receita_producao (id, descricao,prioridade) VALUES ('4','FG101 - FAC01 - Recurso 1','1');</v>
      </c>
    </row>
    <row r="6" spans="1:5" x14ac:dyDescent="0.25">
      <c r="A6">
        <v>5</v>
      </c>
      <c r="B6" t="str">
        <f>VLOOKUP(A6,ReceitaProducaoOperacao!$B$2:$K$18,10,FALSE)</f>
        <v>FG101 - FAC03 - Recurso 1</v>
      </c>
      <c r="C6">
        <v>1</v>
      </c>
      <c r="E6" t="str">
        <f t="shared" si="0"/>
        <v>INSERT INTO receita_producao (id, descricao,prioridade) VALUES ('5','FG101 - FAC03 - Recurso 1','1');</v>
      </c>
    </row>
    <row r="7" spans="1:5" x14ac:dyDescent="0.25">
      <c r="A7">
        <v>6</v>
      </c>
      <c r="B7" t="str">
        <f>VLOOKUP(A7,ReceitaProducaoOperacao!$B$2:$K$18,10,FALSE)</f>
        <v>FG102 - FAC02 - Recurso1</v>
      </c>
      <c r="C7">
        <v>1</v>
      </c>
      <c r="E7" t="str">
        <f t="shared" si="0"/>
        <v>INSERT INTO receita_producao (id, descricao,prioridade) VALUES ('6','FG102 - FAC02 - Recurso1','1');</v>
      </c>
    </row>
    <row r="8" spans="1:5" x14ac:dyDescent="0.25">
      <c r="A8">
        <v>7</v>
      </c>
      <c r="B8" t="str">
        <f>VLOOKUP(A8,ReceitaProducaoOperacao!$B$2:$K$18,10,FALSE)</f>
        <v>FG103 - FAC02 - Recurso1</v>
      </c>
      <c r="C8">
        <v>1</v>
      </c>
      <c r="E8" t="str">
        <f t="shared" si="0"/>
        <v>INSERT INTO receita_producao (id, descricao,prioridade) VALUES ('7','FG103 - FAC02 - Recurso1','1');</v>
      </c>
    </row>
    <row r="9" spans="1:5" x14ac:dyDescent="0.25">
      <c r="A9">
        <v>8</v>
      </c>
      <c r="B9" t="str">
        <f>VLOOKUP(A9,ReceitaProducaoOperacao!$B$2:$K$18,10,FALSE)</f>
        <v>RM301 - SUP01 - Recurso 1</v>
      </c>
      <c r="C9">
        <v>1</v>
      </c>
      <c r="E9" t="str">
        <f t="shared" si="0"/>
        <v>INSERT INTO receita_producao (id, descricao,prioridade) VALUES ('8','RM301 - SUP01 - Recurso 1','1');</v>
      </c>
    </row>
    <row r="10" spans="1:5" x14ac:dyDescent="0.25">
      <c r="A10">
        <v>9</v>
      </c>
      <c r="B10" t="str">
        <f>VLOOKUP(A10,ReceitaProducaoOperacao!$B$2:$K$18,10,FALSE)</f>
        <v>RM302 - SUP01 - Recurso 1</v>
      </c>
      <c r="C10">
        <v>1</v>
      </c>
      <c r="E10" t="str">
        <f t="shared" si="0"/>
        <v>INSERT INTO receita_producao (id, descricao,prioridade) VALUES ('9','RM302 - SUP01 - Recurso 1','1');</v>
      </c>
    </row>
    <row r="11" spans="1:5" x14ac:dyDescent="0.25">
      <c r="A11">
        <v>10</v>
      </c>
      <c r="B11" t="str">
        <f>VLOOKUP(A11,ReceitaProducaoOperacao!$B$2:$K$18,10,FALSE)</f>
        <v>RM303 - FAC02 - Recurso 1</v>
      </c>
      <c r="C11">
        <v>1</v>
      </c>
      <c r="E11" t="str">
        <f t="shared" si="0"/>
        <v>INSERT INTO receita_producao (id, descricao,prioridade) VALUES ('10','RM303 - FAC02 - Recurso 1','1');</v>
      </c>
    </row>
    <row r="12" spans="1:5" x14ac:dyDescent="0.25">
      <c r="A12">
        <v>11</v>
      </c>
      <c r="B12" t="str">
        <f>VLOOKUP(A12,ReceitaProducaoOperacao!$B$2:$K$18,10,FALSE)</f>
        <v>WP202 - SUP01 - Recurso 1</v>
      </c>
      <c r="C12">
        <v>1</v>
      </c>
      <c r="E12" t="str">
        <f t="shared" si="0"/>
        <v>INSERT INTO receita_producao (id, descricao,prioridade) VALUES ('11','WP202 - SUP01 - Recurso 1','1');</v>
      </c>
    </row>
    <row r="13" spans="1:5" x14ac:dyDescent="0.25">
      <c r="A13">
        <v>12</v>
      </c>
      <c r="B13" t="str">
        <f>VLOOKUP(A13,ReceitaProducaoOperacao!$B$2:$K$18,10,FALSE)</f>
        <v>WP201 - FAC02 - Recurso 1</v>
      </c>
      <c r="C13">
        <v>1</v>
      </c>
      <c r="E13" t="str">
        <f t="shared" si="0"/>
        <v>INSERT INTO receita_producao (id, descricao,prioridade) VALUES ('12','WP201 - FAC02 - Recurso 1','1');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2E7-7D26-443D-9D47-8026DBF6FB2C}">
  <dimension ref="A1:K18"/>
  <sheetViews>
    <sheetView topLeftCell="E1" workbookViewId="0">
      <selection activeCell="I2" sqref="I2:I18"/>
    </sheetView>
  </sheetViews>
  <sheetFormatPr defaultRowHeight="15" x14ac:dyDescent="0.25"/>
  <cols>
    <col min="1" max="1" width="17" bestFit="1" customWidth="1"/>
    <col min="2" max="2" width="19.42578125" bestFit="1" customWidth="1"/>
    <col min="3" max="3" width="12" bestFit="1" customWidth="1"/>
    <col min="4" max="4" width="17.5703125" bestFit="1" customWidth="1"/>
    <col min="5" max="5" width="16.42578125" bestFit="1" customWidth="1"/>
    <col min="6" max="6" width="26.7109375" bestFit="1" customWidth="1"/>
    <col min="7" max="7" width="12.42578125" bestFit="1" customWidth="1"/>
    <col min="9" max="9" width="97.7109375" bestFit="1" customWidth="1"/>
  </cols>
  <sheetData>
    <row r="1" spans="1:11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I1" t="s">
        <v>121</v>
      </c>
    </row>
    <row r="2" spans="1:11" x14ac:dyDescent="0.25">
      <c r="A2">
        <v>3</v>
      </c>
      <c r="B2">
        <v>1</v>
      </c>
      <c r="C2" t="s">
        <v>81</v>
      </c>
      <c r="D2" t="s">
        <v>86</v>
      </c>
      <c r="E2">
        <v>3</v>
      </c>
      <c r="F2">
        <v>36</v>
      </c>
      <c r="G2">
        <v>6</v>
      </c>
      <c r="I2" t="str">
        <f>"INSERT INTO receita_producao_operacao ("&amp;A$1&amp;","&amp;B$1&amp;","&amp;C$1&amp;","&amp;D$1&amp;","&amp;E$1&amp;","&amp;F$1&amp;","&amp;G$1&amp;") VALUES ('"&amp;A2&amp;"','"&amp;B2&amp;"','"&amp;C2&amp;"','"&amp;D2&amp;"','"&amp;E2&amp;"','"&amp;F2&amp;"','"&amp;G2&amp;"');"</f>
        <v>INSERT INTO receita_producao_operacao (posicao_operacao,receita_producao_id,lista_tecnica,recurso_produtivo,quantidade_base,horas_por_quantidade_base,lote_minimo) VALUES ('3','1','LT100','RP001','3','36','6');</v>
      </c>
      <c r="K2" t="s">
        <v>107</v>
      </c>
    </row>
    <row r="3" spans="1:11" x14ac:dyDescent="0.25">
      <c r="A3">
        <v>3</v>
      </c>
      <c r="B3">
        <v>2</v>
      </c>
      <c r="C3" t="s">
        <v>81</v>
      </c>
      <c r="D3" t="s">
        <v>87</v>
      </c>
      <c r="E3">
        <v>2</v>
      </c>
      <c r="F3">
        <v>36</v>
      </c>
      <c r="G3">
        <v>8</v>
      </c>
      <c r="I3" t="str">
        <f t="shared" ref="I3:I18" si="0">"INSERT INTO receita_producao_operacao ("&amp;A$1&amp;","&amp;B$1&amp;","&amp;C$1&amp;","&amp;D$1&amp;","&amp;E$1&amp;","&amp;F$1&amp;","&amp;G$1&amp;") VALUES ('"&amp;A3&amp;"','"&amp;B3&amp;"','"&amp;C3&amp;"','"&amp;D3&amp;"','"&amp;E3&amp;"','"&amp;F3&amp;"','"&amp;G3&amp;"');"</f>
        <v>INSERT INTO receita_producao_operacao (posicao_operacao,receita_producao_id,lista_tecnica,recurso_produtivo,quantidade_base,horas_por_quantidade_base,lote_minimo) VALUES ('3','2','LT100','RP002','2','36','8');</v>
      </c>
      <c r="K3" t="s">
        <v>108</v>
      </c>
    </row>
    <row r="4" spans="1:11" x14ac:dyDescent="0.25">
      <c r="A4">
        <v>3</v>
      </c>
      <c r="B4">
        <v>3</v>
      </c>
      <c r="C4" t="s">
        <v>81</v>
      </c>
      <c r="D4" t="s">
        <v>89</v>
      </c>
      <c r="E4">
        <v>3</v>
      </c>
      <c r="F4">
        <v>36</v>
      </c>
      <c r="G4">
        <v>6</v>
      </c>
      <c r="I4" t="str">
        <f t="shared" si="0"/>
        <v>INSERT INTO receita_producao_operacao (posicao_operacao,receita_producao_id,lista_tecnica,recurso_produtivo,quantidade_base,horas_por_quantidade_base,lote_minimo) VALUES ('3','3','LT100','RP004','3','36','6');</v>
      </c>
      <c r="K4" t="s">
        <v>109</v>
      </c>
    </row>
    <row r="5" spans="1:11" x14ac:dyDescent="0.25">
      <c r="A5">
        <v>3</v>
      </c>
      <c r="B5">
        <v>4</v>
      </c>
      <c r="C5" t="s">
        <v>78</v>
      </c>
      <c r="D5" t="s">
        <v>86</v>
      </c>
      <c r="E5">
        <v>3</v>
      </c>
      <c r="F5">
        <v>36</v>
      </c>
      <c r="G5">
        <v>6</v>
      </c>
      <c r="I5" t="str">
        <f t="shared" si="0"/>
        <v>INSERT INTO receita_producao_operacao (posicao_operacao,receita_producao_id,lista_tecnica,recurso_produtivo,quantidade_base,horas_por_quantidade_base,lote_minimo) VALUES ('3','4','LT101','RP001','3','36','6');</v>
      </c>
      <c r="K5" t="s">
        <v>110</v>
      </c>
    </row>
    <row r="6" spans="1:11" x14ac:dyDescent="0.25">
      <c r="A6">
        <v>3</v>
      </c>
      <c r="B6">
        <v>5</v>
      </c>
      <c r="C6" t="s">
        <v>78</v>
      </c>
      <c r="D6" t="s">
        <v>89</v>
      </c>
      <c r="E6">
        <v>3</v>
      </c>
      <c r="F6">
        <v>36</v>
      </c>
      <c r="G6">
        <v>6</v>
      </c>
      <c r="I6" t="str">
        <f t="shared" si="0"/>
        <v>INSERT INTO receita_producao_operacao (posicao_operacao,receita_producao_id,lista_tecnica,recurso_produtivo,quantidade_base,horas_por_quantidade_base,lote_minimo) VALUES ('3','5','LT101','RP004','3','36','6');</v>
      </c>
      <c r="K6" t="s">
        <v>111</v>
      </c>
    </row>
    <row r="7" spans="1:11" x14ac:dyDescent="0.25">
      <c r="A7">
        <v>1</v>
      </c>
      <c r="B7">
        <v>6</v>
      </c>
      <c r="C7" t="s">
        <v>79</v>
      </c>
      <c r="D7" t="s">
        <v>88</v>
      </c>
      <c r="E7">
        <v>2</v>
      </c>
      <c r="F7">
        <v>36</v>
      </c>
      <c r="G7">
        <v>6</v>
      </c>
      <c r="I7" t="str">
        <f t="shared" si="0"/>
        <v>INSERT INTO receita_producao_operacao (posicao_operacao,receita_producao_id,lista_tecnica,recurso_produtivo,quantidade_base,horas_por_quantidade_base,lote_minimo) VALUES ('1','6','LT102','RP003','2','36','6');</v>
      </c>
      <c r="K7" t="s">
        <v>112</v>
      </c>
    </row>
    <row r="8" spans="1:11" x14ac:dyDescent="0.25">
      <c r="A8">
        <v>1</v>
      </c>
      <c r="B8">
        <v>7</v>
      </c>
      <c r="C8" t="s">
        <v>80</v>
      </c>
      <c r="D8" t="s">
        <v>88</v>
      </c>
      <c r="E8">
        <v>2</v>
      </c>
      <c r="F8">
        <v>36</v>
      </c>
      <c r="G8">
        <v>6</v>
      </c>
      <c r="I8" t="str">
        <f t="shared" si="0"/>
        <v>INSERT INTO receita_producao_operacao (posicao_operacao,receita_producao_id,lista_tecnica,recurso_produtivo,quantidade_base,horas_por_quantidade_base,lote_minimo) VALUES ('1','7','LT103','RP003','2','36','6');</v>
      </c>
      <c r="K8" t="s">
        <v>113</v>
      </c>
    </row>
    <row r="9" spans="1:11" x14ac:dyDescent="0.25">
      <c r="A9">
        <v>1</v>
      </c>
      <c r="B9">
        <v>1</v>
      </c>
      <c r="C9" t="s">
        <v>63</v>
      </c>
      <c r="D9" t="s">
        <v>87</v>
      </c>
      <c r="E9">
        <v>2</v>
      </c>
      <c r="F9">
        <v>36</v>
      </c>
      <c r="G9">
        <v>6</v>
      </c>
      <c r="I9" t="str">
        <f t="shared" si="0"/>
        <v>INSERT INTO receita_producao_operacao (posicao_operacao,receita_producao_id,lista_tecnica,recurso_produtivo,quantidade_base,horas_por_quantidade_base,lote_minimo) VALUES ('1','1','LT200','RP002','2','36','6');</v>
      </c>
      <c r="K9" t="s">
        <v>118</v>
      </c>
    </row>
    <row r="10" spans="1:11" x14ac:dyDescent="0.25">
      <c r="A10">
        <v>1</v>
      </c>
      <c r="B10">
        <v>2</v>
      </c>
      <c r="C10" t="s">
        <v>63</v>
      </c>
      <c r="D10" t="s">
        <v>87</v>
      </c>
      <c r="E10">
        <v>2</v>
      </c>
      <c r="F10">
        <v>36</v>
      </c>
      <c r="G10">
        <v>6</v>
      </c>
      <c r="I10" t="str">
        <f t="shared" si="0"/>
        <v>INSERT INTO receita_producao_operacao (posicao_operacao,receita_producao_id,lista_tecnica,recurso_produtivo,quantidade_base,horas_por_quantidade_base,lote_minimo) VALUES ('1','2','LT200','RP002','2','36','6');</v>
      </c>
      <c r="K10" t="s">
        <v>118</v>
      </c>
    </row>
    <row r="11" spans="1:11" x14ac:dyDescent="0.25">
      <c r="A11">
        <v>1</v>
      </c>
      <c r="B11">
        <v>3</v>
      </c>
      <c r="C11" t="s">
        <v>63</v>
      </c>
      <c r="D11" t="s">
        <v>89</v>
      </c>
      <c r="E11">
        <v>2</v>
      </c>
      <c r="F11">
        <v>36</v>
      </c>
      <c r="G11">
        <v>6</v>
      </c>
      <c r="I11" t="str">
        <f t="shared" si="0"/>
        <v>INSERT INTO receita_producao_operacao (posicao_operacao,receita_producao_id,lista_tecnica,recurso_produtivo,quantidade_base,horas_por_quantidade_base,lote_minimo) VALUES ('1','3','LT200','RP004','2','36','6');</v>
      </c>
      <c r="K11" t="s">
        <v>119</v>
      </c>
    </row>
    <row r="12" spans="1:11" x14ac:dyDescent="0.25">
      <c r="A12">
        <v>2</v>
      </c>
      <c r="B12">
        <v>4</v>
      </c>
      <c r="C12" t="s">
        <v>63</v>
      </c>
      <c r="D12" t="s">
        <v>87</v>
      </c>
      <c r="E12">
        <v>2</v>
      </c>
      <c r="F12">
        <v>36</v>
      </c>
      <c r="G12">
        <v>6</v>
      </c>
      <c r="I12" t="str">
        <f t="shared" si="0"/>
        <v>INSERT INTO receita_producao_operacao (posicao_operacao,receita_producao_id,lista_tecnica,recurso_produtivo,quantidade_base,horas_por_quantidade_base,lote_minimo) VALUES ('2','4','LT200','RP002','2','36','6');</v>
      </c>
      <c r="K12" t="s">
        <v>118</v>
      </c>
    </row>
    <row r="13" spans="1:11" x14ac:dyDescent="0.25">
      <c r="A13">
        <v>2</v>
      </c>
      <c r="B13">
        <v>5</v>
      </c>
      <c r="C13" t="s">
        <v>63</v>
      </c>
      <c r="D13" t="s">
        <v>89</v>
      </c>
      <c r="E13">
        <v>2</v>
      </c>
      <c r="F13">
        <v>36</v>
      </c>
      <c r="G13">
        <v>6</v>
      </c>
      <c r="I13" t="str">
        <f t="shared" si="0"/>
        <v>INSERT INTO receita_producao_operacao (posicao_operacao,receita_producao_id,lista_tecnica,recurso_produtivo,quantidade_base,horas_por_quantidade_base,lote_minimo) VALUES ('2','5','LT200','RP004','2','36','6');</v>
      </c>
      <c r="K13" t="s">
        <v>119</v>
      </c>
    </row>
    <row r="14" spans="1:11" x14ac:dyDescent="0.25">
      <c r="A14">
        <v>1</v>
      </c>
      <c r="B14">
        <v>8</v>
      </c>
      <c r="C14" t="s">
        <v>67</v>
      </c>
      <c r="D14" t="s">
        <v>93</v>
      </c>
      <c r="E14">
        <v>2</v>
      </c>
      <c r="F14">
        <v>36</v>
      </c>
      <c r="G14">
        <v>6</v>
      </c>
      <c r="I14" t="str">
        <f t="shared" si="0"/>
        <v>INSERT INTO receita_producao_operacao (posicao_operacao,receita_producao_id,lista_tecnica,recurso_produtivo,quantidade_base,horas_por_quantidade_base,lote_minimo) VALUES ('1','8','LT301','RP005','2','36','6');</v>
      </c>
      <c r="K14" t="s">
        <v>115</v>
      </c>
    </row>
    <row r="15" spans="1:11" x14ac:dyDescent="0.25">
      <c r="A15">
        <v>1</v>
      </c>
      <c r="B15">
        <v>9</v>
      </c>
      <c r="C15" t="s">
        <v>68</v>
      </c>
      <c r="D15" t="s">
        <v>93</v>
      </c>
      <c r="E15">
        <v>2</v>
      </c>
      <c r="F15">
        <v>36</v>
      </c>
      <c r="G15">
        <v>6</v>
      </c>
      <c r="I15" t="str">
        <f t="shared" si="0"/>
        <v>INSERT INTO receita_producao_operacao (posicao_operacao,receita_producao_id,lista_tecnica,recurso_produtivo,quantidade_base,horas_por_quantidade_base,lote_minimo) VALUES ('1','9','LT302','RP005','2','36','6');</v>
      </c>
      <c r="K15" t="s">
        <v>116</v>
      </c>
    </row>
    <row r="16" spans="1:11" x14ac:dyDescent="0.25">
      <c r="A16">
        <v>1</v>
      </c>
      <c r="B16">
        <v>10</v>
      </c>
      <c r="C16" t="s">
        <v>76</v>
      </c>
      <c r="D16" t="s">
        <v>88</v>
      </c>
      <c r="E16">
        <v>2</v>
      </c>
      <c r="F16">
        <v>36</v>
      </c>
      <c r="G16">
        <v>6</v>
      </c>
      <c r="I16" t="str">
        <f t="shared" si="0"/>
        <v>INSERT INTO receita_producao_operacao (posicao_operacao,receita_producao_id,lista_tecnica,recurso_produtivo,quantidade_base,horas_por_quantidade_base,lote_minimo) VALUES ('1','10','LT303','RP003','2','36','6');</v>
      </c>
      <c r="K16" t="s">
        <v>114</v>
      </c>
    </row>
    <row r="17" spans="1:11" x14ac:dyDescent="0.25">
      <c r="A17">
        <v>1</v>
      </c>
      <c r="B17">
        <v>11</v>
      </c>
      <c r="C17" t="s">
        <v>74</v>
      </c>
      <c r="D17" t="s">
        <v>93</v>
      </c>
      <c r="E17">
        <v>2</v>
      </c>
      <c r="F17">
        <v>36</v>
      </c>
      <c r="G17">
        <v>6</v>
      </c>
      <c r="I17" t="str">
        <f t="shared" si="0"/>
        <v>INSERT INTO receita_producao_operacao (posicao_operacao,receita_producao_id,lista_tecnica,recurso_produtivo,quantidade_base,horas_por_quantidade_base,lote_minimo) VALUES ('1','11','LT202','RP005','2','36','6');</v>
      </c>
      <c r="K17" t="s">
        <v>117</v>
      </c>
    </row>
    <row r="18" spans="1:11" x14ac:dyDescent="0.25">
      <c r="A18">
        <v>1</v>
      </c>
      <c r="B18">
        <v>12</v>
      </c>
      <c r="C18" t="s">
        <v>64</v>
      </c>
      <c r="D18" t="s">
        <v>88</v>
      </c>
      <c r="E18">
        <v>2</v>
      </c>
      <c r="F18">
        <v>36</v>
      </c>
      <c r="G18">
        <v>6</v>
      </c>
      <c r="I18" t="str">
        <f t="shared" si="0"/>
        <v>INSERT INTO receita_producao_operacao (posicao_operacao,receita_producao_id,lista_tecnica,recurso_produtivo,quantidade_base,horas_por_quantidade_base,lote_minimo) VALUES ('1','12','LT201','RP003','2','36','6');</v>
      </c>
      <c r="K18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Produto</vt:lpstr>
      <vt:lpstr>ClusterLocations</vt:lpstr>
      <vt:lpstr>Location</vt:lpstr>
      <vt:lpstr>LinhaTransporte</vt:lpstr>
      <vt:lpstr>DemandPlan</vt:lpstr>
      <vt:lpstr>DemandPlanLinha</vt:lpstr>
      <vt:lpstr>Estoque</vt:lpstr>
      <vt:lpstr>ListaTecnica</vt:lpstr>
      <vt:lpstr>ListaTecnicaComponente</vt:lpstr>
      <vt:lpstr>RecursoProdutivo</vt:lpstr>
      <vt:lpstr>ReceitaProducao</vt:lpstr>
      <vt:lpstr>ReceitaProducaoOperacao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poletto</dc:creator>
  <cp:lastModifiedBy>erick poletto</cp:lastModifiedBy>
  <dcterms:created xsi:type="dcterms:W3CDTF">2020-01-29T13:01:57Z</dcterms:created>
  <dcterms:modified xsi:type="dcterms:W3CDTF">2020-01-30T23:25:59Z</dcterms:modified>
</cp:coreProperties>
</file>